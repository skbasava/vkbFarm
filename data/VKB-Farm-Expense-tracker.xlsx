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hidePivotFieldList="1" defaultThemeVersion="166925"/>
  <xr:revisionPtr revIDLastSave="828" documentId="11_E60897F41BE170836B02CE998F75CCDC64E183C8" xr6:coauthVersionLast="47" xr6:coauthVersionMax="47" xr10:uidLastSave="{10222C61-2F39-4EC2-BE45-C952F9A14F6C}"/>
  <bookViews>
    <workbookView xWindow="240" yWindow="105" windowWidth="14805" windowHeight="8010" xr2:uid="{00000000-000D-0000-FFFF-FFFF00000000}"/>
  </bookViews>
  <sheets>
    <sheet name="Common Expense" sheetId="1" r:id="rId1"/>
    <sheet name="Satish's Expense" sheetId="2" r:id="rId2"/>
    <sheet name="Sat-Expense Log" sheetId="4" r:id="rId3"/>
    <sheet name="Mahesh's Expense" sheetId="3" r:id="rId4"/>
    <sheet name="Mah-Expense-Log" sheetId="5" r:id="rId5"/>
    <sheet name="Plantation Details" sheetId="6" r:id="rId6"/>
    <sheet name="Banana Harvest Details" sheetId="7" r:id="rId7"/>
  </sheets>
  <definedNames>
    <definedName name="_xlnm._FilterDatabase" localSheetId="0" hidden="1">'Common Expense'!$J$4:$J$6</definedName>
  </definedNames>
  <calcPr calcId="191028"/>
  <pivotCaches>
    <pivotCache cacheId="194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7" l="1"/>
  <c r="F3" i="7"/>
  <c r="F4" i="7"/>
  <c r="D4" i="7"/>
  <c r="D3" i="7"/>
  <c r="F2" i="7"/>
  <c r="A2" i="7"/>
  <c r="C15" i="6"/>
  <c r="B15" i="6"/>
  <c r="G15" i="6"/>
  <c r="F15" i="6"/>
  <c r="F16" i="6"/>
  <c r="B16" i="6"/>
  <c r="B19" i="6" s="1"/>
  <c r="I67" i="1"/>
  <c r="C60" i="1"/>
  <c r="J4" i="1" a="1"/>
  <c r="J4" i="1"/>
  <c r="K4" i="1" s="1" a="1"/>
  <c r="K4" i="1" s="1"/>
  <c r="L4" i="1" s="1" a="1"/>
  <c r="L4" i="1" s="1"/>
  <c r="F4" i="1" a="1"/>
  <c r="F4" i="1"/>
  <c r="P29" i="3"/>
  <c r="P28" i="3"/>
  <c r="P27" i="3"/>
  <c r="P26" i="3"/>
  <c r="P25" i="3"/>
  <c r="P24" i="3"/>
  <c r="P36" i="3" s="1"/>
  <c r="P23" i="3"/>
  <c r="P22" i="3"/>
  <c r="P21" i="3"/>
  <c r="P20" i="3"/>
  <c r="P19" i="3"/>
  <c r="P14" i="3"/>
  <c r="P13" i="3"/>
  <c r="P12" i="3"/>
  <c r="P11" i="3"/>
  <c r="P10" i="3"/>
  <c r="P9" i="3"/>
  <c r="P8" i="3"/>
  <c r="P7" i="3"/>
  <c r="P6" i="3"/>
  <c r="P5" i="3"/>
  <c r="P4" i="3"/>
  <c r="P16" i="3" s="1"/>
  <c r="P36" i="2"/>
  <c r="P29" i="2"/>
  <c r="P28" i="2"/>
  <c r="P27" i="2"/>
  <c r="P26" i="2"/>
  <c r="P25" i="2"/>
  <c r="P24" i="2"/>
  <c r="P23" i="2"/>
  <c r="P22" i="2"/>
  <c r="P21" i="2"/>
  <c r="P20" i="2"/>
  <c r="P19" i="2"/>
  <c r="P5" i="2"/>
  <c r="P6" i="2"/>
  <c r="P7" i="2"/>
  <c r="P8" i="2"/>
  <c r="P9" i="2"/>
  <c r="P10" i="2"/>
  <c r="P11" i="2"/>
  <c r="P12" i="2"/>
  <c r="P13" i="2"/>
  <c r="P14" i="2"/>
  <c r="P4" i="2"/>
  <c r="P16" i="2" s="1"/>
  <c r="H4" i="1" l="1" a="1"/>
  <c r="H4" i="1" s="1"/>
  <c r="G4" i="1" s="1" a="1"/>
  <c r="G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<sst xmlns="http://schemas.openxmlformats.org/spreadsheetml/2006/main" count="1413" uniqueCount="501">
  <si>
    <t>VKG - Farm development - common expense report</t>
  </si>
  <si>
    <t>Please don't edit any cells, just add your expense.  Rest is taken care!!</t>
  </si>
  <si>
    <t>Settlement</t>
  </si>
  <si>
    <t>Date</t>
  </si>
  <si>
    <t>Description</t>
  </si>
  <si>
    <t>Amount</t>
  </si>
  <si>
    <t>Who Paid</t>
  </si>
  <si>
    <t>Expense Type</t>
  </si>
  <si>
    <t>From</t>
  </si>
  <si>
    <t xml:space="preserve">Amount </t>
  </si>
  <si>
    <t>To</t>
  </si>
  <si>
    <t xml:space="preserve">Name </t>
  </si>
  <si>
    <t>Total</t>
  </si>
  <si>
    <t>Pay/Receive</t>
  </si>
  <si>
    <t>Name</t>
  </si>
  <si>
    <t>Remarks</t>
  </si>
  <si>
    <t xml:space="preserve">Paid to Basavaraju ISRO for borewell point </t>
  </si>
  <si>
    <t>Mahesh</t>
  </si>
  <si>
    <t>Borewell</t>
  </si>
  <si>
    <t>Sum of Amount</t>
  </si>
  <si>
    <t xml:space="preserve">Car travel expense - Enquired for Survey expedition, Forest saplings, Horticulture plants, Venkateshappa, checked on borewell drilling cost, electric contractor etc	
</t>
  </si>
  <si>
    <t>Misc</t>
  </si>
  <si>
    <t>Satish</t>
  </si>
  <si>
    <t>Grand Total</t>
  </si>
  <si>
    <t xml:space="preserve">Miscelleneous </t>
  </si>
  <si>
    <t>Dinner @ udupi grand</t>
  </si>
  <si>
    <t>Food</t>
  </si>
  <si>
    <t>Electric work</t>
  </si>
  <si>
    <t>Electricity</t>
  </si>
  <si>
    <t>Paid to land surveyor</t>
  </si>
  <si>
    <t>Fencing</t>
  </si>
  <si>
    <t xml:space="preserve">Car travel expense - Borewell point marking, Surveyor visited land for marking	
</t>
  </si>
  <si>
    <t>Transport</t>
  </si>
  <si>
    <t>Field work</t>
  </si>
  <si>
    <t>Advance for Borewell rigger</t>
  </si>
  <si>
    <t>Dinner @ Pavitra</t>
  </si>
  <si>
    <t xml:space="preserve">Food </t>
  </si>
  <si>
    <t>Pole - Advance</t>
  </si>
  <si>
    <t>Hotel stay</t>
  </si>
  <si>
    <t>Transformer - Advance paid</t>
  </si>
  <si>
    <t>Labour</t>
  </si>
  <si>
    <t>Labours</t>
  </si>
  <si>
    <t>Land Development</t>
  </si>
  <si>
    <t xml:space="preserve">Car travel expense - Micon, Met Manju and Applied for Transformer / RR, advance for pole stones, Got quote for borewell electric materials (Hiriyur and Sira)	
</t>
  </si>
  <si>
    <t>Local expense</t>
  </si>
  <si>
    <t>Morning food</t>
  </si>
  <si>
    <t>Local expense to giri</t>
  </si>
  <si>
    <t>Evening food</t>
  </si>
  <si>
    <t>Sapplings</t>
  </si>
  <si>
    <t>Micon - Barbed Wires</t>
  </si>
  <si>
    <t>Micon - Miscelleneous</t>
  </si>
  <si>
    <t>Stay</t>
  </si>
  <si>
    <t>Transformer - Part Payment to Manju</t>
  </si>
  <si>
    <t>Travel</t>
  </si>
  <si>
    <t>Pending Payment to Stone Poles - to Giri</t>
  </si>
  <si>
    <t>Gate fixing</t>
  </si>
  <si>
    <t xml:space="preserve">Car travel expense - Planning, Co-Ordinate with Manju for Transformer installation, Miscelleneous etc	
</t>
  </si>
  <si>
    <t>Paper work</t>
  </si>
  <si>
    <t>Dine out</t>
  </si>
  <si>
    <t>Plantation</t>
  </si>
  <si>
    <t>To Giri for his support</t>
  </si>
  <si>
    <t>Gate work</t>
  </si>
  <si>
    <t>Drip Irrigation</t>
  </si>
  <si>
    <t>Govt Hadhbasthu surveyor visit (Boresh / Vanaraju)</t>
  </si>
  <si>
    <t>Gobra</t>
  </si>
  <si>
    <t>Car travel expense for Hadbasthu</t>
  </si>
  <si>
    <t>Material</t>
  </si>
  <si>
    <t>Lunch / miscelleneous</t>
  </si>
  <si>
    <t>Rent</t>
  </si>
  <si>
    <t>Lunch / Toll/miscelleneous</t>
  </si>
  <si>
    <t>JCB</t>
  </si>
  <si>
    <t>Advance amount for giri (poling , stone poles etc)</t>
  </si>
  <si>
    <t>Unloading Adike and Tractor advance</t>
  </si>
  <si>
    <t>For JCB @ 1000 per hour for 7 hours</t>
  </si>
  <si>
    <t>Amount with Giri pending (Rs 14500+10500 = 25000)</t>
  </si>
  <si>
    <t xml:space="preserve">Drip Labour </t>
  </si>
  <si>
    <t>Car travel expense for land border levelling for poles with jcb</t>
  </si>
  <si>
    <t>Giri paid 10000 advance for stone pole laying labour work</t>
  </si>
  <si>
    <t>Trip food miscelleneous</t>
  </si>
  <si>
    <t>Remaining 15000</t>
  </si>
  <si>
    <t>Drip materials</t>
  </si>
  <si>
    <t xml:space="preserve">Advance for laying poles </t>
  </si>
  <si>
    <t>Miscelleneous (Bakery items + toll etc)</t>
  </si>
  <si>
    <t>Transferred money to Giri (for Kere mannu)</t>
  </si>
  <si>
    <t>For electrical lightpole shifting (to Venkateshappa, given to Thimmana)</t>
  </si>
  <si>
    <t>Paid to Giri</t>
  </si>
  <si>
    <t>To Venkateshappa : 25000</t>
  </si>
  <si>
    <t>For stone pole laying / fixing labour</t>
  </si>
  <si>
    <t>After giving money to Giri = 38000+15000=53000 (remaining with giri)</t>
  </si>
  <si>
    <t>For additional stone poles</t>
  </si>
  <si>
    <t>Giri paid (20000 to stone pole workers) and (80*350+350+500=28850)</t>
  </si>
  <si>
    <t xml:space="preserve">Car travel expense - Fencing marking , checking
</t>
  </si>
  <si>
    <t>Total = 20000+28850=48850</t>
  </si>
  <si>
    <t>Pending with Giri = 53000-48850 = 4150</t>
  </si>
  <si>
    <t xml:space="preserve">Toll </t>
  </si>
  <si>
    <t>Giri paid 15000 to reddy (stone poles labour)</t>
  </si>
  <si>
    <t>Giri paid 21150 to pending 60 poles</t>
  </si>
  <si>
    <t>Dahencha green manure -P1</t>
  </si>
  <si>
    <t>For Texmo pumpset, cables and starters</t>
  </si>
  <si>
    <t>Giri local travel= 1000</t>
  </si>
  <si>
    <t>Kathya paid to Mahesh in regrad Motor/pump</t>
  </si>
  <si>
    <t>Pending with Giri = 20000+4150-15000-21150-1000=-13000</t>
  </si>
  <si>
    <t>Gate Railing advance</t>
  </si>
  <si>
    <t>Gate paid 2nd advance</t>
  </si>
  <si>
    <t>Dahencha green manure -P2</t>
  </si>
  <si>
    <t>Total cost = 170000+8000=178000</t>
  </si>
  <si>
    <t>Gate - final payment</t>
  </si>
  <si>
    <t>Diesel + driver bata + dinner +toll  charges</t>
  </si>
  <si>
    <t>Gate Delivery (Fuel +Toll)</t>
  </si>
  <si>
    <t>Nava/Siri Dhanya</t>
  </si>
  <si>
    <t>Surya prakash submersible pipes</t>
  </si>
  <si>
    <t>Paid to giri for local expense</t>
  </si>
  <si>
    <t>Fuel + toll</t>
  </si>
  <si>
    <t>Pending with giri = -13000+6500=-6500</t>
  </si>
  <si>
    <t>Paid to labourers for 2 days (1000+500), JCB driver</t>
  </si>
  <si>
    <t>Giri paid for pipe, wooden pole, vehicle rent, miscelleneous(2500+900+1600+1500) = 6500</t>
  </si>
  <si>
    <t>Anil Comforts - HYR stay</t>
  </si>
  <si>
    <t>Pending with giri = -13000</t>
  </si>
  <si>
    <t xml:space="preserve">Paid Giri  </t>
  </si>
  <si>
    <t>Breakfast+snacks+misc</t>
  </si>
  <si>
    <t xml:space="preserve">Dinner </t>
  </si>
  <si>
    <t>Hotel stay advance</t>
  </si>
  <si>
    <t>Zeroed in / Settlement = Balance with Giri = 0</t>
  </si>
  <si>
    <t>Paid giri pending amount for zero in</t>
  </si>
  <si>
    <t>Grand Total (with Giri) = 0</t>
  </si>
  <si>
    <t>Harish electrician for borewell work</t>
  </si>
  <si>
    <t>Extra Mains wire + Sweets</t>
  </si>
  <si>
    <t>Lunch + Tea</t>
  </si>
  <si>
    <t>Breakfast</t>
  </si>
  <si>
    <t>Miscelleneous (Hardware shop etc), Petrol</t>
  </si>
  <si>
    <t>Paid Giri for pending amount to Reddy (384 poles)</t>
  </si>
  <si>
    <t>JCB &amp; Tractor work, for field cultivation and hole digging - Transport and fuel/toll</t>
  </si>
  <si>
    <t>Paid for extra labour and his food expense</t>
  </si>
  <si>
    <t>Car travel expense - Fencing marking , checking. Visited Binnamangala, Sira, Hiriyur Sasya Kshetra and got availibility information. Visited horticulture dep for coconut trees, house hunting etc</t>
  </si>
  <si>
    <t>Coconut Plants</t>
  </si>
  <si>
    <t>Paid to giri for his work</t>
  </si>
  <si>
    <t>Seed sowing</t>
  </si>
  <si>
    <t>Paid to tractor for ploughing / rotor</t>
  </si>
  <si>
    <t>Hebbal Sasya Kshetra oak,nerale, etc</t>
  </si>
  <si>
    <t>Spalings transport (fuel + toll + driver bata)</t>
  </si>
  <si>
    <t>Timber Saplings</t>
  </si>
  <si>
    <t>Jatropa Seeds</t>
  </si>
  <si>
    <t>JCB &amp; Tractor work, for field cultivation and hole digging</t>
  </si>
  <si>
    <t>House Advance paid (Advance + Gas cylinder)</t>
  </si>
  <si>
    <t>House Advance paid</t>
  </si>
  <si>
    <t>Roll pipes 90 meters</t>
  </si>
  <si>
    <t>Reddy for gate fixing</t>
  </si>
  <si>
    <t>Transport for roll pipes</t>
  </si>
  <si>
    <t>Breakfast + Drinks</t>
  </si>
  <si>
    <t>Agriculture field tools (Hoe - Sanke)</t>
  </si>
  <si>
    <t>Cement (2 bags)</t>
  </si>
  <si>
    <t>Misc (Shivanna labour + reddy breakfast + paid reddy 200 each)</t>
  </si>
  <si>
    <t>Manure, Madduru</t>
  </si>
  <si>
    <t>Transport for manure</t>
  </si>
  <si>
    <t>TRansport for manure to hyb</t>
  </si>
  <si>
    <t>Shivanna Labour paid</t>
  </si>
  <si>
    <t>For Coconut Plants</t>
  </si>
  <si>
    <t>Toll + fuel (for tractor trench work, plantation etc)</t>
  </si>
  <si>
    <t>To giri for jalli, sand, local expense, support</t>
  </si>
  <si>
    <t>To Shivaramanna (1500+500)</t>
  </si>
  <si>
    <t>Roll pipe transport</t>
  </si>
  <si>
    <t>HRA agreement</t>
  </si>
  <si>
    <t>Toll + fuel (for plantation, drip work etc)</t>
  </si>
  <si>
    <t>Shivaramanna for watering</t>
  </si>
  <si>
    <t>Advance to Basavraj for drip</t>
  </si>
  <si>
    <t>Food + miscelleneous</t>
  </si>
  <si>
    <t>Accessories, local travel to Giri (lock, clamps etc)</t>
  </si>
  <si>
    <t>Gobra advance to giri</t>
  </si>
  <si>
    <t>Paid to Giri for (JCB Drip work)</t>
  </si>
  <si>
    <t>To Devraj (Advance for Drip Materials )</t>
  </si>
  <si>
    <t>To Devraj (Rent)</t>
  </si>
  <si>
    <t>To Basavaraj (Drip Labour)</t>
  </si>
  <si>
    <t>To Giri for local expense</t>
  </si>
  <si>
    <t>Cement Pipe + transportation</t>
  </si>
  <si>
    <t>Toll + fuel (for JCB, drip work etc)</t>
  </si>
  <si>
    <t>To JCB Driver Bata</t>
  </si>
  <si>
    <t>Lunch</t>
  </si>
  <si>
    <t>Breakfast for Drip Labors</t>
  </si>
  <si>
    <t>Advance to Devraj for drip</t>
  </si>
  <si>
    <t>JCB for 14.3 hours</t>
  </si>
  <si>
    <t xml:space="preserve">Transport Coconut saplings </t>
  </si>
  <si>
    <t>Paid to Giri thru Mahesh (Drip, Tractor JCB Drip work)</t>
  </si>
  <si>
    <t>Shimoga Adake sasi trip expense</t>
  </si>
  <si>
    <t xml:space="preserve">Arcanet saplings </t>
  </si>
  <si>
    <t>Shivamogga Fuel 4K + Toll 350 + 2000 (lunch)</t>
  </si>
  <si>
    <t>To Giri (5000 + 500 )</t>
  </si>
  <si>
    <t>Drip final settlement</t>
  </si>
  <si>
    <t xml:space="preserve">Arcanet saplings transport </t>
  </si>
  <si>
    <t>To Basavaraj (Plantation advance)</t>
  </si>
  <si>
    <t>Toll + fuel (for plantation co-ordination etc)</t>
  </si>
  <si>
    <t>To Giri salary + 1k extra</t>
  </si>
  <si>
    <t>Arcanet saplings cropping (basavaraju labour)</t>
  </si>
  <si>
    <t>To Giri (for tempo, labours for planting)</t>
  </si>
  <si>
    <t>To basavaraj (Plantation - II )</t>
  </si>
  <si>
    <t>Giri Salary</t>
  </si>
  <si>
    <t>Toll + fuel + misc (for plantation co-ordination etc)</t>
  </si>
  <si>
    <t xml:space="preserve">Banana Saplings (120), Papaya(10) + Miscelleneous </t>
  </si>
  <si>
    <t>Harish for Mini tractor (6.5 hours)</t>
  </si>
  <si>
    <t>Paid to Giri for weed removal in field</t>
  </si>
  <si>
    <t>Toll + fuel + misc (for weed removal, banana sapplings etc)</t>
  </si>
  <si>
    <t>Giri (for labourers - Drip pipe folding and unfolding)</t>
  </si>
  <si>
    <t>Toll + fuel + misc (for planting banana sapplings etc)</t>
  </si>
  <si>
    <t xml:space="preserve">Bananna (500)  + Red Sandal (650) </t>
  </si>
  <si>
    <t>Toll + fuel + misc ( bannana transportation)</t>
  </si>
  <si>
    <t>Bananna (350) Bannerghatta Rd</t>
  </si>
  <si>
    <t>Food + misc</t>
  </si>
  <si>
    <t>Miscelleneous</t>
  </si>
  <si>
    <t>Gunda (Tractor for 6+7 rotator + ploughing) (6*950 + 7*900)</t>
  </si>
  <si>
    <t>Tractor</t>
  </si>
  <si>
    <t>Rent for month of september - Devraj</t>
  </si>
  <si>
    <t>mahesh</t>
  </si>
  <si>
    <t>To Giri (for pending labour work - 3 days for weed removal)</t>
  </si>
  <si>
    <t>To Giri (for pending labour work)</t>
  </si>
  <si>
    <t xml:space="preserve">Organic Fertilizer </t>
  </si>
  <si>
    <t>Fertilizer</t>
  </si>
  <si>
    <t>Toll + Fuel (Fertilizer: picked from Huliyurdurga)</t>
  </si>
  <si>
    <t>Advance to Basavraj for banana plantation</t>
  </si>
  <si>
    <t>Miscellenous (Bakery items etc)</t>
  </si>
  <si>
    <t>Lock for farm gate</t>
  </si>
  <si>
    <t>Chemical Solluable (Bravisitne and carbo flou)</t>
  </si>
  <si>
    <t>Toll + Fuel (Fertilizer)</t>
  </si>
  <si>
    <t>To basavaraj (Plantation - Banana) (Rs 9 per plant) 851 plants + 500</t>
  </si>
  <si>
    <t>Devraj rent</t>
  </si>
  <si>
    <t>For purchase of 110 Coconut plants (Rs 100 / plant + 2 free)</t>
  </si>
  <si>
    <t>Coconut Saplings (10 K transferred by satish)</t>
  </si>
  <si>
    <t>To Giri for transport (Diesel) of tractor</t>
  </si>
  <si>
    <t>Coconut Saplings</t>
  </si>
  <si>
    <t>To Giri - for Labour food and miscelleneous</t>
  </si>
  <si>
    <t>Coconut Saplings - Labour / Misc</t>
  </si>
  <si>
    <t>Tissue cultured teak + Misc plants</t>
  </si>
  <si>
    <t xml:space="preserve">To Giri - Weedicides </t>
  </si>
  <si>
    <t xml:space="preserve">To Giri, Tractor Diesel </t>
  </si>
  <si>
    <t>Weed removal</t>
  </si>
  <si>
    <t>To giri - transffered via Mahesh</t>
  </si>
  <si>
    <t xml:space="preserve">Giri - weedicides </t>
  </si>
  <si>
    <t xml:space="preserve">Tractor sonalika </t>
  </si>
  <si>
    <t>Tractor initial payment</t>
  </si>
  <si>
    <t>To Giri, labour, pesticides etc</t>
  </si>
  <si>
    <t>Giri - Tractor Diesel</t>
  </si>
  <si>
    <t>Miscellenous (Food, Drinks,Bakery items etc)</t>
  </si>
  <si>
    <t>Vodka, Breezer, food etc</t>
  </si>
  <si>
    <t>Devraj rent (jan 2023)</t>
  </si>
  <si>
    <t>Fuel + Food (VRL + Catch &amp; eat) + Toll</t>
  </si>
  <si>
    <t>50 Bananna Sapplings + DAP fertilizer</t>
  </si>
  <si>
    <t>To Giri - Bonus</t>
  </si>
  <si>
    <t>Workdone</t>
  </si>
  <si>
    <t>To giri , Baale weed manual removal + mekke jola</t>
  </si>
  <si>
    <t>Buffalo</t>
  </si>
  <si>
    <t>Payment to Gobra, loading , unloading etc</t>
  </si>
  <si>
    <t>To Giri for Adike sasi bought from Shimoga</t>
  </si>
  <si>
    <t>For additional adike sasi borrowed from Giri</t>
  </si>
  <si>
    <t>Part Payment to Gobra, Diesel</t>
  </si>
  <si>
    <t>Advance to Gobra</t>
  </si>
  <si>
    <t>Travel + Tool +Miscelleneous</t>
  </si>
  <si>
    <t>Meals + Bananna sapplings + Miscelleneous</t>
  </si>
  <si>
    <t>Payment to Giri</t>
  </si>
  <si>
    <t>Tractor diesel , Labours for weeds</t>
  </si>
  <si>
    <t>To Devaraj</t>
  </si>
  <si>
    <t>Rent (Feb 2023)</t>
  </si>
  <si>
    <t>Labour work for weed removal</t>
  </si>
  <si>
    <t>To Basavaraj (Gobra labour)</t>
  </si>
  <si>
    <t>Breakfast for Labours</t>
  </si>
  <si>
    <t>DAP Fertilizer</t>
  </si>
  <si>
    <t>Duplicate Key</t>
  </si>
  <si>
    <t>Key</t>
  </si>
  <si>
    <t>Weedicides Giri</t>
  </si>
  <si>
    <t>Fuel + Food (Dabha + Catch &amp; eat) + Toll</t>
  </si>
  <si>
    <t>Advance to Gobra + Miscelleneous</t>
  </si>
  <si>
    <t>Payment to Gobra  Adike</t>
  </si>
  <si>
    <t>Sunday, September 10, 2022</t>
  </si>
  <si>
    <t>DAP Fertilizer + Bannana Saplings(50)</t>
  </si>
  <si>
    <t>Rent (Mar 2023)</t>
  </si>
  <si>
    <t>To Giri (Tractor diesel, Labour etc)</t>
  </si>
  <si>
    <t>Miscelleneous (Bakery, coconut etc)</t>
  </si>
  <si>
    <t>For Gunda tractor 4.5 hours + Labour (4500 + 500) (Banana leveling)</t>
  </si>
  <si>
    <t>For Weed removal (11 days. rs 200 /day) + 300 for transport</t>
  </si>
  <si>
    <t>To giri for remaninig weed removal</t>
  </si>
  <si>
    <t xml:space="preserve">Dutch Treat (Peepayee Restaurant) </t>
  </si>
  <si>
    <t>Treat</t>
  </si>
  <si>
    <t>Tractor EMI</t>
  </si>
  <si>
    <t>Tractor emi</t>
  </si>
  <si>
    <t>To giri for tractor diesel (jola weed removal adike)</t>
  </si>
  <si>
    <t>To giri for labour (drip pipe, labour)</t>
  </si>
  <si>
    <t>Miscelleneous (Bakery, liquid food etc)</t>
  </si>
  <si>
    <t>To giri for coconut saplings</t>
  </si>
  <si>
    <t>plants / Labour</t>
  </si>
  <si>
    <t>Gobra labour (750*4) + Tractor diesel (1000) + food (500)</t>
  </si>
  <si>
    <t>Toll + fuel (for fertilizer, weedicides etc)</t>
  </si>
  <si>
    <t>Banana spray in ISAR (4 quantity)</t>
  </si>
  <si>
    <t>Dragon fruit plant (12 quantity)</t>
  </si>
  <si>
    <t xml:space="preserve">Plants </t>
  </si>
  <si>
    <t>Potassium fertilizer (10:26:26)</t>
  </si>
  <si>
    <t xml:space="preserve">Weedicides and pesticides </t>
  </si>
  <si>
    <t>Details</t>
  </si>
  <si>
    <t>To giri (advance for weed removal, labour)</t>
  </si>
  <si>
    <t>Tractor diesel : 5500 (for 42 hours)</t>
  </si>
  <si>
    <t>To giri (weed removal, gundi close)</t>
  </si>
  <si>
    <t>Adike sasi: 3500</t>
  </si>
  <si>
    <t>Labour: 3000 ( 6 labours toatal)</t>
  </si>
  <si>
    <t>Dozer rent: 1000</t>
  </si>
  <si>
    <t>Teak plants from Biotech mother</t>
  </si>
  <si>
    <t>Plants</t>
  </si>
  <si>
    <t>To giri (Diesel for tractor) for weed ploughing</t>
  </si>
  <si>
    <t>Toll + fuel (for teak plantation planning etc)</t>
  </si>
  <si>
    <t>for adike tractor</t>
  </si>
  <si>
    <t>Diesel</t>
  </si>
  <si>
    <t>Gobra (organic)</t>
  </si>
  <si>
    <t>Advance for teak plantation</t>
  </si>
  <si>
    <t>Labour (Teak)</t>
  </si>
  <si>
    <t>Advance for teak plantation diesel</t>
  </si>
  <si>
    <t>Diesel (Teak)</t>
  </si>
  <si>
    <t>Miscelleneous (Bakery)</t>
  </si>
  <si>
    <t>Food (teak)</t>
  </si>
  <si>
    <t>Toll + fuel (for teak plantation etc)</t>
  </si>
  <si>
    <t>travel (Teak)</t>
  </si>
  <si>
    <t>Food (Teak)</t>
  </si>
  <si>
    <t>To Giri (Advance - banana sticks for support)</t>
  </si>
  <si>
    <t>Banana</t>
  </si>
  <si>
    <t>Banana - 3500 for sticks</t>
  </si>
  <si>
    <t>To Giri (For tractor diesel + plaster for sticks)</t>
  </si>
  <si>
    <t>Banana Labour: 1000 ( 2 labours toatal)</t>
  </si>
  <si>
    <t>To Giri (For tractor diesel)</t>
  </si>
  <si>
    <t>Weed removal, Adike</t>
  </si>
  <si>
    <t>Banana Food: 500</t>
  </si>
  <si>
    <t>Party at stories</t>
  </si>
  <si>
    <t>Rajajinagar</t>
  </si>
  <si>
    <t>Banana Tractor diesel : 1000</t>
  </si>
  <si>
    <t>Toll + fuel (for teak purchase etc)</t>
  </si>
  <si>
    <t>Travel (teak)</t>
  </si>
  <si>
    <t>Banana Plaster: 500</t>
  </si>
  <si>
    <t>To Basavaraj</t>
  </si>
  <si>
    <t>Teak plantation</t>
  </si>
  <si>
    <t>Stories</t>
  </si>
  <si>
    <t xml:space="preserve">Giri </t>
  </si>
  <si>
    <t>Giri salary</t>
  </si>
  <si>
    <t>Salary</t>
  </si>
  <si>
    <t>Miscelleneous (Bakery+Food items)</t>
  </si>
  <si>
    <t>Advance to giri for weed removal</t>
  </si>
  <si>
    <t>Travel expense</t>
  </si>
  <si>
    <t>Kadapa kallu for bench</t>
  </si>
  <si>
    <t>Bench for sitting</t>
  </si>
  <si>
    <t>Gobra for Banana (Potassium, borun, Bhoomi etc)</t>
  </si>
  <si>
    <t>Cutter and locks for starter box</t>
  </si>
  <si>
    <t>To Giri - for Labour</t>
  </si>
  <si>
    <t>Manual weed removal in adike and teak</t>
  </si>
  <si>
    <t>To Giri - for Labour food and few adike sasi replacement</t>
  </si>
  <si>
    <t>Giri (Labour + Food)</t>
  </si>
  <si>
    <t>Rent Devaraj</t>
  </si>
  <si>
    <t>To giri - for weed ploughing rent</t>
  </si>
  <si>
    <t>expense</t>
  </si>
  <si>
    <t>miscelleneous</t>
  </si>
  <si>
    <t>travel</t>
  </si>
  <si>
    <t>Gift for House warming</t>
  </si>
  <si>
    <t>House</t>
  </si>
  <si>
    <t>Toll + fuel + miscelleneous (for farm visit, house warming etc)</t>
  </si>
  <si>
    <t xml:space="preserve">travel </t>
  </si>
  <si>
    <t>To Giri - for Labour (3) and tractor diesel</t>
  </si>
  <si>
    <t>Travel + miscelleneous (for farm visit, banana harvest etc)</t>
  </si>
  <si>
    <t>Labour (Adike weeds near root)</t>
  </si>
  <si>
    <t>Tractor diesel + Labour for teek gobra</t>
  </si>
  <si>
    <t>Banana loading</t>
  </si>
  <si>
    <t>Tractor Insurance + Miscelleneous</t>
  </si>
  <si>
    <t>Vehicle</t>
  </si>
  <si>
    <t>General expense</t>
  </si>
  <si>
    <t>To Bhavi electric (Pipe, collar etc)</t>
  </si>
  <si>
    <t>For bore pipes etc</t>
  </si>
  <si>
    <t>To Electrician Harish</t>
  </si>
  <si>
    <t>For additional submersible pipe work</t>
  </si>
  <si>
    <t>Salary (1k additional for borewell work)</t>
  </si>
  <si>
    <t>Banana removal</t>
  </si>
  <si>
    <t>Giri (Labour + Tractor) 17k + 5k</t>
  </si>
  <si>
    <t>Giri (Labour + Tractor + JCB) 17k + 13k</t>
  </si>
  <si>
    <t xml:space="preserve">Giri (Labour + Tractor + JCB) </t>
  </si>
  <si>
    <t>Giri Salary (4k adjusted towards loan)</t>
  </si>
  <si>
    <t>Weedicides</t>
  </si>
  <si>
    <t>Pesticides / Weed Control / Labour / Diesel</t>
  </si>
  <si>
    <t>Maintainance</t>
  </si>
  <si>
    <t>Giri Salary (3k adjusted towards loan)</t>
  </si>
  <si>
    <t>Giri - Fertilizers</t>
  </si>
  <si>
    <t>Fertilizers</t>
  </si>
  <si>
    <t xml:space="preserve">Giri Salary </t>
  </si>
  <si>
    <t>Giri Salary (Adjusted 2k towards loan)</t>
  </si>
  <si>
    <t xml:space="preserve">Tractor EMI </t>
  </si>
  <si>
    <t>Pesticides</t>
  </si>
  <si>
    <t>Lime and Jaggery</t>
  </si>
  <si>
    <t>Arecanut heat reduction</t>
  </si>
  <si>
    <t>Fertilizers for coconut and border plants</t>
  </si>
  <si>
    <t>Travel cost</t>
  </si>
  <si>
    <t>Giri Salary + weed removal</t>
  </si>
  <si>
    <t>Labour weed removal, tractor diesel</t>
  </si>
  <si>
    <t>Giri festival bonus</t>
  </si>
  <si>
    <t xml:space="preserve"> weed removal</t>
  </si>
  <si>
    <t>Weed removal, Adike + Teak</t>
  </si>
  <si>
    <t>Expenses misc</t>
  </si>
  <si>
    <t>Weed removal, maint</t>
  </si>
  <si>
    <t>Travel expense (June, July,Aug,Sept)</t>
  </si>
  <si>
    <t>Expenses (Labour + Tractor)</t>
  </si>
  <si>
    <t>Farmland (Gobbara,manure,saplings,labour,diesel etc)</t>
  </si>
  <si>
    <t>Sunna expense</t>
  </si>
  <si>
    <t>Borewell repair expense</t>
  </si>
  <si>
    <t>Giri Salary(Adjusted towards borewell repair+ misc)</t>
  </si>
  <si>
    <t>Ugadi bonus</t>
  </si>
  <si>
    <t xml:space="preserve">Borewell repair expense </t>
  </si>
  <si>
    <t xml:space="preserve">Travel expense </t>
  </si>
  <si>
    <t>Giri Salary(+ Borewell repair - cable cut, pipe lift etc)</t>
  </si>
  <si>
    <t>Starter repair</t>
  </si>
  <si>
    <t>Repairs , miscellaneous</t>
  </si>
  <si>
    <t>JCB works for land - trench, thippe etc</t>
  </si>
  <si>
    <t>Labor for weeds, gobra collection</t>
  </si>
  <si>
    <t>Tractor diesel</t>
  </si>
  <si>
    <t>Weed collection to pit</t>
  </si>
  <si>
    <t xml:space="preserve">Geologist </t>
  </si>
  <si>
    <t>VKG Farm Development - Expense @2022</t>
  </si>
  <si>
    <t>Expense Log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</si>
  <si>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</si>
  <si>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</si>
  <si>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</si>
  <si>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</si>
  <si>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</si>
  <si>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</si>
  <si>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</si>
  <si>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</si>
  <si>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</si>
  <si>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</si>
  <si>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</si>
  <si>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</si>
  <si>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Notes</t>
  </si>
  <si>
    <t>Captial Expense</t>
  </si>
  <si>
    <t>TBC in expense log for break-up</t>
  </si>
  <si>
    <t>Borwell -rigg</t>
  </si>
  <si>
    <t xml:space="preserve">Power </t>
  </si>
  <si>
    <t>Forcasted amount.</t>
  </si>
  <si>
    <t>Water Dripping</t>
  </si>
  <si>
    <t>Sprinklers(optional)</t>
  </si>
  <si>
    <t>Total Expenses</t>
  </si>
  <si>
    <t>Operating Expense</t>
  </si>
  <si>
    <t>Seeds/plants</t>
  </si>
  <si>
    <t>Tractor ploughing</t>
  </si>
  <si>
    <t>Maintainence</t>
  </si>
  <si>
    <t>Liabilites</t>
  </si>
  <si>
    <t>Satish's VKG Farm Expense Records</t>
  </si>
  <si>
    <t xml:space="preserve">Date </t>
  </si>
  <si>
    <t>Paid To</t>
  </si>
  <si>
    <t>Bill Notes</t>
  </si>
  <si>
    <t xml:space="preserve">Fencing </t>
  </si>
  <si>
    <t>Pole stones</t>
  </si>
  <si>
    <t>Girish</t>
  </si>
  <si>
    <t>1st Installment paid, w.r.t pole delivery</t>
  </si>
  <si>
    <t>350Rs per pole, which includes delivery/load/unload</t>
  </si>
  <si>
    <t>labour</t>
  </si>
  <si>
    <t>140Rs to install the poles and bind the barbed wires</t>
  </si>
  <si>
    <t>BarBed wires</t>
  </si>
  <si>
    <t xml:space="preserve">Micon Wires </t>
  </si>
  <si>
    <t>Barbed wire 862.7kgs(125/kg), binding wires 60kg(170/kg)  GST billed @ barbed 68/kg,66/kg</t>
  </si>
  <si>
    <t>Wire-transport</t>
  </si>
  <si>
    <t>Advance - paid</t>
  </si>
  <si>
    <t>Token advance to book the pole stones</t>
  </si>
  <si>
    <t>BoreWell -Rigging</t>
  </si>
  <si>
    <t>Ranganath - 9743042154</t>
  </si>
  <si>
    <t>Ranganath Swamy Borewell, Dharampura</t>
  </si>
  <si>
    <t>Transformer Install</t>
  </si>
  <si>
    <t>Manjunath - 7090405011</t>
  </si>
  <si>
    <t>Advance paid to bescom contractor</t>
  </si>
  <si>
    <t>Motor &amp; Pumps</t>
  </si>
  <si>
    <t>Mahesh's VKG Farm Expense Records</t>
  </si>
  <si>
    <t>160 per Kg, which spans 18 feet and 200Rs binding wire included</t>
  </si>
  <si>
    <t>MT</t>
  </si>
  <si>
    <t>SK</t>
  </si>
  <si>
    <t>Coconut</t>
  </si>
  <si>
    <t>Silver Oak</t>
  </si>
  <si>
    <t>Karibevu</t>
  </si>
  <si>
    <t>Mahogany</t>
  </si>
  <si>
    <t>Nimbe</t>
  </si>
  <si>
    <t>Unknown</t>
  </si>
  <si>
    <t>Mango</t>
  </si>
  <si>
    <t>Jackfruit</t>
  </si>
  <si>
    <t>Sapota</t>
  </si>
  <si>
    <t>Kadamba</t>
  </si>
  <si>
    <t>Ellikayi</t>
  </si>
  <si>
    <t>Nerale</t>
  </si>
  <si>
    <t>Rampala  Sitapala</t>
  </si>
  <si>
    <t>Butter fruit</t>
  </si>
  <si>
    <t>Gauva</t>
  </si>
  <si>
    <t>Rosewood</t>
  </si>
  <si>
    <t>Halasu</t>
  </si>
  <si>
    <t>Teak</t>
  </si>
  <si>
    <t>Hunase</t>
  </si>
  <si>
    <t>Honne</t>
  </si>
  <si>
    <t>Bannana</t>
  </si>
  <si>
    <t>Arecanut</t>
  </si>
  <si>
    <t>Empty</t>
  </si>
  <si>
    <t>Sum</t>
  </si>
  <si>
    <t xml:space="preserve">Sum </t>
  </si>
  <si>
    <t>Grandtotal</t>
  </si>
  <si>
    <t>Total ಬಾಳೆಗೊನೆ harvested (1st time)</t>
  </si>
  <si>
    <t>Split of ಬಾಳೆಗೊನೆ Quantity</t>
  </si>
  <si>
    <t>Gross Weight (Kg)</t>
  </si>
  <si>
    <t>Avg. Weight (Kg)</t>
  </si>
  <si>
    <t>Sell Price per kg</t>
  </si>
  <si>
    <t>Total Price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</si>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</sst>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[$₹-44B]#,##0.00"/>
    <numFmt numFmtId="166" formatCode="_ [$₹-44B]* #,##0.00_ ;_ [$₹-44B]* \-#,##0.00_ ;_ [$₹-44B]* &quot;-&quot;??_ ;_ @_ 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ourier New"/>
    </font>
    <font>
      <b/>
      <i/>
      <sz val="12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4472C4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i/>
      <sz val="12"/>
      <color rgb="FFFF0000"/>
      <name val="Century"/>
    </font>
    <font>
      <b/>
      <sz val="14"/>
      <color rgb="FF203764"/>
      <name val="Book Antiqua"/>
    </font>
    <font>
      <i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2" borderId="0" xfId="0" applyFill="1"/>
    <xf numFmtId="164" fontId="0" fillId="0" borderId="0" xfId="0" applyNumberFormat="1"/>
    <xf numFmtId="165" fontId="0" fillId="0" borderId="0" xfId="0" applyNumberFormat="1"/>
    <xf numFmtId="0" fontId="0" fillId="4" borderId="0" xfId="0" applyFill="1"/>
    <xf numFmtId="0" fontId="0" fillId="5" borderId="0" xfId="0" applyFill="1"/>
    <xf numFmtId="165" fontId="0" fillId="5" borderId="0" xfId="0" applyNumberFormat="1" applyFill="1"/>
    <xf numFmtId="0" fontId="0" fillId="6" borderId="0" xfId="0" applyFill="1"/>
    <xf numFmtId="0" fontId="1" fillId="2" borderId="0" xfId="0" applyFont="1" applyFill="1"/>
    <xf numFmtId="164" fontId="1" fillId="2" borderId="0" xfId="0" applyNumberFormat="1" applyFont="1" applyFill="1"/>
    <xf numFmtId="165" fontId="1" fillId="2" borderId="0" xfId="0" applyNumberFormat="1" applyFont="1" applyFill="1"/>
    <xf numFmtId="0" fontId="0" fillId="7" borderId="0" xfId="0" applyFill="1"/>
    <xf numFmtId="0" fontId="0" fillId="8" borderId="1" xfId="0" applyFill="1" applyBorder="1"/>
    <xf numFmtId="166" fontId="0" fillId="0" borderId="0" xfId="0" applyNumberFormat="1"/>
    <xf numFmtId="0" fontId="0" fillId="8" borderId="8" xfId="0" applyFill="1" applyBorder="1"/>
    <xf numFmtId="0" fontId="0" fillId="9" borderId="6" xfId="0" applyFill="1" applyBorder="1"/>
    <xf numFmtId="165" fontId="0" fillId="9" borderId="7" xfId="0" applyNumberFormat="1" applyFill="1" applyBorder="1"/>
    <xf numFmtId="166" fontId="0" fillId="9" borderId="8" xfId="0" applyNumberFormat="1" applyFill="1" applyBorder="1"/>
    <xf numFmtId="0" fontId="4" fillId="10" borderId="0" xfId="0" applyFont="1" applyFill="1"/>
    <xf numFmtId="0" fontId="0" fillId="11" borderId="1" xfId="0" applyFill="1" applyBorder="1"/>
    <xf numFmtId="0" fontId="0" fillId="11" borderId="2" xfId="0" applyFill="1" applyBorder="1"/>
    <xf numFmtId="0" fontId="0" fillId="11" borderId="4" xfId="0" applyFill="1" applyBorder="1"/>
    <xf numFmtId="165" fontId="0" fillId="0" borderId="0" xfId="0" applyNumberFormat="1" applyAlignment="1">
      <alignment horizontal="center"/>
    </xf>
    <xf numFmtId="165" fontId="0" fillId="2" borderId="0" xfId="0" applyNumberFormat="1" applyFill="1" applyAlignment="1">
      <alignment horizontal="center"/>
    </xf>
    <xf numFmtId="166" fontId="5" fillId="0" borderId="0" xfId="0" applyNumberFormat="1" applyFont="1" applyAlignment="1">
      <alignment horizontal="left"/>
    </xf>
    <xf numFmtId="165" fontId="0" fillId="8" borderId="7" xfId="0" applyNumberFormat="1" applyFill="1" applyBorder="1" applyAlignment="1">
      <alignment vertical="center"/>
    </xf>
    <xf numFmtId="165" fontId="0" fillId="0" borderId="0" xfId="0" applyNumberFormat="1" applyAlignment="1">
      <alignment vertical="center"/>
    </xf>
    <xf numFmtId="164" fontId="0" fillId="0" borderId="0" xfId="0" applyNumberFormat="1" applyAlignment="1">
      <alignment horizontal="left"/>
    </xf>
    <xf numFmtId="164" fontId="0" fillId="2" borderId="0" xfId="0" applyNumberFormat="1" applyFill="1" applyAlignment="1">
      <alignment horizontal="left"/>
    </xf>
    <xf numFmtId="164" fontId="0" fillId="0" borderId="0" xfId="0" applyNumberFormat="1" applyAlignment="1">
      <alignment horizontal="left" vertical="center"/>
    </xf>
    <xf numFmtId="49" fontId="0" fillId="0" borderId="0" xfId="0" applyNumberFormat="1"/>
    <xf numFmtId="49" fontId="0" fillId="2" borderId="0" xfId="0" applyNumberFormat="1" applyFill="1"/>
    <xf numFmtId="49" fontId="0" fillId="0" borderId="0" xfId="0" applyNumberFormat="1" applyAlignment="1">
      <alignment wrapText="1"/>
    </xf>
    <xf numFmtId="165" fontId="6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NumberFormat="1"/>
    <xf numFmtId="164" fontId="7" fillId="0" borderId="0" xfId="0" applyNumberFormat="1" applyFont="1" applyAlignment="1">
      <alignment horizontal="left"/>
    </xf>
    <xf numFmtId="0" fontId="3" fillId="0" borderId="3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1" fillId="0" borderId="0" xfId="0" applyFont="1"/>
    <xf numFmtId="0" fontId="0" fillId="0" borderId="9" xfId="0" applyBorder="1"/>
    <xf numFmtId="0" fontId="1" fillId="0" borderId="9" xfId="0" applyFont="1" applyBorder="1"/>
    <xf numFmtId="0" fontId="0" fillId="0" borderId="9" xfId="0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/>
    <xf numFmtId="0" fontId="1" fillId="0" borderId="10" xfId="0" applyFont="1" applyBorder="1" applyAlignment="1">
      <alignment horizontal="center"/>
    </xf>
    <xf numFmtId="0" fontId="10" fillId="0" borderId="9" xfId="0" applyFont="1" applyBorder="1"/>
    <xf numFmtId="0" fontId="10" fillId="0" borderId="9" xfId="0" applyFont="1" applyBorder="1" applyAlignment="1">
      <alignment horizontal="center"/>
    </xf>
    <xf numFmtId="0" fontId="1" fillId="13" borderId="9" xfId="0" applyFont="1" applyFill="1" applyBorder="1"/>
    <xf numFmtId="0" fontId="1" fillId="14" borderId="9" xfId="0" applyFont="1" applyFill="1" applyBorder="1"/>
    <xf numFmtId="0" fontId="4" fillId="10" borderId="0" xfId="0" applyFont="1" applyFill="1" applyAlignment="1">
      <alignment horizontal="center"/>
    </xf>
    <xf numFmtId="0" fontId="8" fillId="12" borderId="0" xfId="0" applyFont="1" applyFill="1" applyBorder="1" applyAlignment="1">
      <alignment horizontal="center" vertical="center"/>
    </xf>
    <xf numFmtId="0" fontId="8" fillId="12" borderId="7" xfId="0" applyFont="1" applyFill="1" applyBorder="1" applyAlignment="1">
      <alignment horizontal="center" vertical="center"/>
    </xf>
    <xf numFmtId="0" fontId="9" fillId="12" borderId="0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0" fillId="2" borderId="0" xfId="0" applyFill="1" applyAlignment="1">
      <alignment horizontal="left"/>
    </xf>
    <xf numFmtId="0" fontId="1" fillId="2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1">
    <cellStyle name="Normal" xfId="0" builtinId="0"/>
  </cellStyles>
  <dxfs count="6">
    <dxf>
      <numFmt numFmtId="165" formatCode="[$₹-44B]#,##0.00"/>
      <alignment horizontal="center" vertical="bottom" textRotation="0" wrapText="0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164" formatCode="[$-F800]dddd\,\ mmmm\ dd\,\ yyyy"/>
      <alignment horizontal="left"/>
    </dxf>
    <dxf>
      <numFmt numFmtId="164" formatCode="[$-F800]dddd\,\ mmmm\ dd\,\ yyyy"/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HYB expense trackers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v>HYB expense tracker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dPt>
            <c:idx val="0"/>
            <c:bubble3D val="0"/>
            <c:spPr>
              <a:solidFill>
                <a:schemeClr val="accent1"/>
              </a:solidFill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4D30-4F15-8AB7-8DAD6DA4ECE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4D30-4F15-8AB7-8DAD6DA4ECE0}"/>
              </c:ext>
            </c:extLst>
          </c:dPt>
          <c:dLbls>
            <c:spPr>
              <a:solidFill>
                <a:srgbClr val="F2F2F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'Common Expense'!$J$4:$J$5</c:f>
              <c:strCache>
                <c:ptCount val="2"/>
                <c:pt idx="0">
                  <c:v>Mahesh</c:v>
                </c:pt>
                <c:pt idx="1">
                  <c:v>Satish</c:v>
                </c:pt>
              </c:strCache>
            </c:strRef>
          </c:cat>
          <c:val>
            <c:numRef>
              <c:f>'Common Expense'!$K$4:$K$5</c:f>
              <c:numCache>
                <c:formatCode>[$₹-44B]#,##0.00</c:formatCode>
                <c:ptCount val="2"/>
                <c:pt idx="0">
                  <c:v>1483180</c:v>
                </c:pt>
                <c:pt idx="1">
                  <c:v>1493017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E4-41BF-B127-AC287FC410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7"/>
      </c:doughnutChart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4472C4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[VKB-Farm-Expense-tracker.xlsx]Common Expense!PivotTable4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'Common Expense'!$W$4:$W$5</c:f>
              <c:strCache>
                <c:ptCount val="1"/>
                <c:pt idx="0">
                  <c:v>Mahesh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'Common Expense'!$V$6:$V$38</c:f>
              <c:strCache>
                <c:ptCount val="32"/>
                <c:pt idx="0">
                  <c:v>Borewell</c:v>
                </c:pt>
                <c:pt idx="1">
                  <c:v>Electric work</c:v>
                </c:pt>
                <c:pt idx="2">
                  <c:v>Electricity</c:v>
                </c:pt>
                <c:pt idx="3">
                  <c:v>Fencing</c:v>
                </c:pt>
                <c:pt idx="4">
                  <c:v>Field work</c:v>
                </c:pt>
                <c:pt idx="5">
                  <c:v>Food</c:v>
                </c:pt>
                <c:pt idx="6">
                  <c:v>Food </c:v>
                </c:pt>
                <c:pt idx="7">
                  <c:v>Hotel stay</c:v>
                </c:pt>
                <c:pt idx="8">
                  <c:v>Labour</c:v>
                </c:pt>
                <c:pt idx="9">
                  <c:v>Labours</c:v>
                </c:pt>
                <c:pt idx="10">
                  <c:v>Land Development</c:v>
                </c:pt>
                <c:pt idx="11">
                  <c:v>Local expense</c:v>
                </c:pt>
                <c:pt idx="12">
                  <c:v>Local expense to giri</c:v>
                </c:pt>
                <c:pt idx="13">
                  <c:v>Misc</c:v>
                </c:pt>
                <c:pt idx="14">
                  <c:v>Sapplings</c:v>
                </c:pt>
                <c:pt idx="15">
                  <c:v>Settlement</c:v>
                </c:pt>
                <c:pt idx="16">
                  <c:v>Stay</c:v>
                </c:pt>
                <c:pt idx="17">
                  <c:v>Transport</c:v>
                </c:pt>
                <c:pt idx="18">
                  <c:v>Travel</c:v>
                </c:pt>
                <c:pt idx="19">
                  <c:v>Gate fixing</c:v>
                </c:pt>
                <c:pt idx="20">
                  <c:v>Paper work</c:v>
                </c:pt>
                <c:pt idx="21">
                  <c:v>Plantation</c:v>
                </c:pt>
                <c:pt idx="22">
                  <c:v>Gate work</c:v>
                </c:pt>
                <c:pt idx="23">
                  <c:v>Drip Irrigation</c:v>
                </c:pt>
                <c:pt idx="24">
                  <c:v>Gobra</c:v>
                </c:pt>
                <c:pt idx="25">
                  <c:v>Material</c:v>
                </c:pt>
                <c:pt idx="26">
                  <c:v>Rent</c:v>
                </c:pt>
                <c:pt idx="27">
                  <c:v>JCB</c:v>
                </c:pt>
                <c:pt idx="28">
                  <c:v>Unloading Adike and Tractor advance</c:v>
                </c:pt>
                <c:pt idx="29">
                  <c:v>Drip Labour </c:v>
                </c:pt>
                <c:pt idx="30">
                  <c:v>Trip food miscelleneous</c:v>
                </c:pt>
                <c:pt idx="31">
                  <c:v>Drip materials</c:v>
                </c:pt>
              </c:strCache>
            </c:strRef>
          </c:cat>
          <c:val>
            <c:numRef>
              <c:f>'Common Expense'!$W$6:$W$38</c:f>
              <c:numCache>
                <c:formatCode>General</c:formatCode>
                <c:ptCount val="32"/>
                <c:pt idx="0">
                  <c:v>200000</c:v>
                </c:pt>
                <c:pt idx="1">
                  <c:v>9500</c:v>
                </c:pt>
                <c:pt idx="2">
                  <c:v>95500</c:v>
                </c:pt>
                <c:pt idx="3">
                  <c:v>118500</c:v>
                </c:pt>
                <c:pt idx="4">
                  <c:v>26200</c:v>
                </c:pt>
                <c:pt idx="5">
                  <c:v>2635</c:v>
                </c:pt>
                <c:pt idx="6">
                  <c:v>1900</c:v>
                </c:pt>
                <c:pt idx="7">
                  <c:v>500</c:v>
                </c:pt>
                <c:pt idx="8">
                  <c:v>11000</c:v>
                </c:pt>
                <c:pt idx="9">
                  <c:v>16500</c:v>
                </c:pt>
                <c:pt idx="10">
                  <c:v>34500</c:v>
                </c:pt>
                <c:pt idx="11">
                  <c:v>850</c:v>
                </c:pt>
                <c:pt idx="12">
                  <c:v>6500</c:v>
                </c:pt>
                <c:pt idx="13">
                  <c:v>7450</c:v>
                </c:pt>
                <c:pt idx="14">
                  <c:v>7550</c:v>
                </c:pt>
                <c:pt idx="15">
                  <c:v>13000</c:v>
                </c:pt>
                <c:pt idx="16">
                  <c:v>10000</c:v>
                </c:pt>
                <c:pt idx="17">
                  <c:v>14810</c:v>
                </c:pt>
                <c:pt idx="18">
                  <c:v>12185</c:v>
                </c:pt>
                <c:pt idx="19">
                  <c:v>680</c:v>
                </c:pt>
                <c:pt idx="20">
                  <c:v>300</c:v>
                </c:pt>
                <c:pt idx="21">
                  <c:v>2000</c:v>
                </c:pt>
                <c:pt idx="22">
                  <c:v>2500</c:v>
                </c:pt>
                <c:pt idx="23">
                  <c:v>146950</c:v>
                </c:pt>
                <c:pt idx="24">
                  <c:v>1000</c:v>
                </c:pt>
                <c:pt idx="25">
                  <c:v>3250</c:v>
                </c:pt>
                <c:pt idx="26">
                  <c:v>10000</c:v>
                </c:pt>
                <c:pt idx="27">
                  <c:v>750</c:v>
                </c:pt>
                <c:pt idx="28">
                  <c:v>5500</c:v>
                </c:pt>
                <c:pt idx="29">
                  <c:v>5000</c:v>
                </c:pt>
                <c:pt idx="30">
                  <c:v>1000</c:v>
                </c:pt>
                <c:pt idx="31">
                  <c:v>23000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8B-4E48-BC1B-2CD152A2CFE4}"/>
            </c:ext>
          </c:extLst>
        </c:ser>
        <c:ser>
          <c:idx val="1"/>
          <c:order val="1"/>
          <c:tx>
            <c:strRef>
              <c:f>'Common Expense'!$X$4:$X$5</c:f>
              <c:strCache>
                <c:ptCount val="1"/>
                <c:pt idx="0">
                  <c:v>Satish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'Common Expense'!$V$6:$V$38</c:f>
              <c:strCache>
                <c:ptCount val="32"/>
                <c:pt idx="0">
                  <c:v>Borewell</c:v>
                </c:pt>
                <c:pt idx="1">
                  <c:v>Electric work</c:v>
                </c:pt>
                <c:pt idx="2">
                  <c:v>Electricity</c:v>
                </c:pt>
                <c:pt idx="3">
                  <c:v>Fencing</c:v>
                </c:pt>
                <c:pt idx="4">
                  <c:v>Field work</c:v>
                </c:pt>
                <c:pt idx="5">
                  <c:v>Food</c:v>
                </c:pt>
                <c:pt idx="6">
                  <c:v>Food </c:v>
                </c:pt>
                <c:pt idx="7">
                  <c:v>Hotel stay</c:v>
                </c:pt>
                <c:pt idx="8">
                  <c:v>Labour</c:v>
                </c:pt>
                <c:pt idx="9">
                  <c:v>Labours</c:v>
                </c:pt>
                <c:pt idx="10">
                  <c:v>Land Development</c:v>
                </c:pt>
                <c:pt idx="11">
                  <c:v>Local expense</c:v>
                </c:pt>
                <c:pt idx="12">
                  <c:v>Local expense to giri</c:v>
                </c:pt>
                <c:pt idx="13">
                  <c:v>Misc</c:v>
                </c:pt>
                <c:pt idx="14">
                  <c:v>Sapplings</c:v>
                </c:pt>
                <c:pt idx="15">
                  <c:v>Settlement</c:v>
                </c:pt>
                <c:pt idx="16">
                  <c:v>Stay</c:v>
                </c:pt>
                <c:pt idx="17">
                  <c:v>Transport</c:v>
                </c:pt>
                <c:pt idx="18">
                  <c:v>Travel</c:v>
                </c:pt>
                <c:pt idx="19">
                  <c:v>Gate fixing</c:v>
                </c:pt>
                <c:pt idx="20">
                  <c:v>Paper work</c:v>
                </c:pt>
                <c:pt idx="21">
                  <c:v>Plantation</c:v>
                </c:pt>
                <c:pt idx="22">
                  <c:v>Gate work</c:v>
                </c:pt>
                <c:pt idx="23">
                  <c:v>Drip Irrigation</c:v>
                </c:pt>
                <c:pt idx="24">
                  <c:v>Gobra</c:v>
                </c:pt>
                <c:pt idx="25">
                  <c:v>Material</c:v>
                </c:pt>
                <c:pt idx="26">
                  <c:v>Rent</c:v>
                </c:pt>
                <c:pt idx="27">
                  <c:v>JCB</c:v>
                </c:pt>
                <c:pt idx="28">
                  <c:v>Unloading Adike and Tractor advance</c:v>
                </c:pt>
                <c:pt idx="29">
                  <c:v>Drip Labour </c:v>
                </c:pt>
                <c:pt idx="30">
                  <c:v>Trip food miscelleneous</c:v>
                </c:pt>
                <c:pt idx="31">
                  <c:v>Drip materials</c:v>
                </c:pt>
              </c:strCache>
            </c:strRef>
          </c:cat>
          <c:val>
            <c:numRef>
              <c:f>'Common Expense'!$X$6:$X$38</c:f>
              <c:numCache>
                <c:formatCode>General</c:formatCode>
                <c:ptCount val="32"/>
                <c:pt idx="0">
                  <c:v>189000</c:v>
                </c:pt>
                <c:pt idx="2">
                  <c:v>75000</c:v>
                </c:pt>
                <c:pt idx="3">
                  <c:v>219537</c:v>
                </c:pt>
                <c:pt idx="4">
                  <c:v>9300</c:v>
                </c:pt>
                <c:pt idx="5">
                  <c:v>4550</c:v>
                </c:pt>
                <c:pt idx="6">
                  <c:v>1900</c:v>
                </c:pt>
                <c:pt idx="7">
                  <c:v>1300</c:v>
                </c:pt>
                <c:pt idx="8">
                  <c:v>35000</c:v>
                </c:pt>
                <c:pt idx="9">
                  <c:v>1700</c:v>
                </c:pt>
                <c:pt idx="10">
                  <c:v>13800</c:v>
                </c:pt>
                <c:pt idx="13">
                  <c:v>1200</c:v>
                </c:pt>
                <c:pt idx="14">
                  <c:v>36450</c:v>
                </c:pt>
                <c:pt idx="16">
                  <c:v>11000</c:v>
                </c:pt>
                <c:pt idx="17">
                  <c:v>23800</c:v>
                </c:pt>
                <c:pt idx="18">
                  <c:v>6350</c:v>
                </c:pt>
                <c:pt idx="23">
                  <c:v>85000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8B-4E48-BC1B-2CD152A2CF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5385784"/>
        <c:axId val="531801960"/>
      </c:barChart>
      <c:catAx>
        <c:axId val="1105385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801960"/>
        <c:crosses val="autoZero"/>
        <c:auto val="1"/>
        <c:lblAlgn val="ctr"/>
        <c:lblOffset val="100"/>
        <c:noMultiLvlLbl val="0"/>
      </c:catAx>
      <c:valAx>
        <c:axId val="531801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385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</xdr:colOff>
      <xdr:row>5</xdr:row>
      <xdr:rowOff>180975</xdr:rowOff>
    </xdr:from>
    <xdr:to>
      <xdr:col>6</xdr:col>
      <xdr:colOff>2762250</xdr:colOff>
      <xdr:row>16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EC6215A-1150-5146-A296-591B709B45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19050</xdr:colOff>
      <xdr:row>16</xdr:row>
      <xdr:rowOff>171450</xdr:rowOff>
    </xdr:from>
    <xdr:to>
      <xdr:col>11</xdr:col>
      <xdr:colOff>0</xdr:colOff>
      <xdr:row>37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D7CD443-C309-4FB9-8A30-2D64CFBFBAE0}"/>
            </a:ext>
            <a:ext uri="{147F2762-F138-4A5C-976F-8EAC2B608ADB}">
              <a16:predDERef xmlns:a16="http://schemas.microsoft.com/office/drawing/2014/main" pred="{3EC6215A-1150-5146-A296-591B709B45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823.448551388887" createdVersion="8" refreshedVersion="8" minRefreshableVersion="3" recordCount="144" xr:uid="{95E2C042-D08F-4BBF-9328-7BD72D5768E2}">
  <cacheSource type="worksheet">
    <worksheetSource ref="C3:E397" sheet="Common Expense"/>
  </cacheSource>
  <cacheFields count="3">
    <cacheField name="Amount" numFmtId="165">
      <sharedItems containsSemiMixedTypes="0" containsString="0" containsNumber="1" containsInteger="1" minValue="150" maxValue="180000"/>
    </cacheField>
    <cacheField name="Who Paid" numFmtId="0">
      <sharedItems count="2">
        <s v="Satish"/>
        <s v="Mahesh"/>
      </sharedItems>
    </cacheField>
    <cacheField name="Expense Type" numFmtId="0">
      <sharedItems count="32">
        <s v="Food"/>
        <s v="Borewell"/>
        <s v="Misc"/>
        <s v="Transport"/>
        <s v="Electricity"/>
        <s v="Fencing"/>
        <s v="Land Development"/>
        <s v="Travel"/>
        <s v="Local expense to giri"/>
        <s v="Labours"/>
        <s v="Hotel stay"/>
        <s v="Local expense"/>
        <s v="Electric work"/>
        <s v="Settlement"/>
        <s v="Food "/>
        <s v="Sapplings"/>
        <s v="Labour"/>
        <s v="Field work"/>
        <s v="Stay"/>
        <s v="Gate fixing"/>
        <s v="Paper work"/>
        <s v="Plantation"/>
        <s v="Gate work"/>
        <s v="Drip Irrigation"/>
        <s v="Gobra"/>
        <s v="Material"/>
        <s v="Rent"/>
        <s v="JCB"/>
        <s v="Unloading Adike and Tractor advance"/>
        <s v="Drip Labour "/>
        <s v="Trip food miscelleneous"/>
        <s v="Drip material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">
  <r>
    <n v="600"/>
    <x v="0"/>
    <x v="0"/>
  </r>
  <r>
    <n v="300"/>
    <x v="0"/>
    <x v="0"/>
  </r>
  <r>
    <n v="1000"/>
    <x v="0"/>
    <x v="1"/>
  </r>
  <r>
    <n v="7000"/>
    <x v="1"/>
    <x v="1"/>
  </r>
  <r>
    <n v="1600"/>
    <x v="1"/>
    <x v="2"/>
  </r>
  <r>
    <n v="350"/>
    <x v="1"/>
    <x v="2"/>
  </r>
  <r>
    <n v="1750"/>
    <x v="1"/>
    <x v="3"/>
  </r>
  <r>
    <n v="3000"/>
    <x v="1"/>
    <x v="1"/>
  </r>
  <r>
    <n v="2000"/>
    <x v="1"/>
    <x v="2"/>
  </r>
  <r>
    <n v="1700"/>
    <x v="1"/>
    <x v="3"/>
  </r>
  <r>
    <n v="235"/>
    <x v="1"/>
    <x v="0"/>
  </r>
  <r>
    <n v="300"/>
    <x v="0"/>
    <x v="0"/>
  </r>
  <r>
    <n v="300"/>
    <x v="0"/>
    <x v="2"/>
  </r>
  <r>
    <n v="50000"/>
    <x v="1"/>
    <x v="4"/>
  </r>
  <r>
    <n v="45000"/>
    <x v="0"/>
    <x v="4"/>
  </r>
  <r>
    <n v="129437"/>
    <x v="0"/>
    <x v="5"/>
  </r>
  <r>
    <n v="600"/>
    <x v="0"/>
    <x v="5"/>
  </r>
  <r>
    <n v="53000"/>
    <x v="1"/>
    <x v="5"/>
  </r>
  <r>
    <n v="31000"/>
    <x v="0"/>
    <x v="5"/>
  </r>
  <r>
    <n v="20000"/>
    <x v="1"/>
    <x v="4"/>
  </r>
  <r>
    <n v="13000"/>
    <x v="1"/>
    <x v="5"/>
  </r>
  <r>
    <n v="1800"/>
    <x v="1"/>
    <x v="3"/>
  </r>
  <r>
    <n v="500"/>
    <x v="1"/>
    <x v="4"/>
  </r>
  <r>
    <n v="1000"/>
    <x v="1"/>
    <x v="2"/>
  </r>
  <r>
    <n v="30000"/>
    <x v="0"/>
    <x v="4"/>
  </r>
  <r>
    <n v="1450"/>
    <x v="0"/>
    <x v="0"/>
  </r>
  <r>
    <n v="3000"/>
    <x v="1"/>
    <x v="5"/>
  </r>
  <r>
    <n v="500"/>
    <x v="1"/>
    <x v="0"/>
  </r>
  <r>
    <n v="2000"/>
    <x v="1"/>
    <x v="3"/>
  </r>
  <r>
    <n v="7300"/>
    <x v="1"/>
    <x v="6"/>
  </r>
  <r>
    <n v="1000"/>
    <x v="1"/>
    <x v="5"/>
  </r>
  <r>
    <n v="10500"/>
    <x v="1"/>
    <x v="5"/>
  </r>
  <r>
    <n v="2000"/>
    <x v="1"/>
    <x v="2"/>
  </r>
  <r>
    <n v="500"/>
    <x v="1"/>
    <x v="2"/>
  </r>
  <r>
    <n v="2000"/>
    <x v="0"/>
    <x v="3"/>
  </r>
  <r>
    <n v="500"/>
    <x v="0"/>
    <x v="0"/>
  </r>
  <r>
    <n v="27200"/>
    <x v="1"/>
    <x v="6"/>
  </r>
  <r>
    <n v="1900"/>
    <x v="1"/>
    <x v="3"/>
  </r>
  <r>
    <n v="500"/>
    <x v="1"/>
    <x v="0"/>
  </r>
  <r>
    <n v="25000"/>
    <x v="1"/>
    <x v="4"/>
  </r>
  <r>
    <n v="8000"/>
    <x v="1"/>
    <x v="5"/>
  </r>
  <r>
    <n v="10000"/>
    <x v="1"/>
    <x v="5"/>
  </r>
  <r>
    <n v="260"/>
    <x v="1"/>
    <x v="3"/>
  </r>
  <r>
    <n v="20000"/>
    <x v="0"/>
    <x v="5"/>
  </r>
  <r>
    <n v="9500"/>
    <x v="0"/>
    <x v="6"/>
  </r>
  <r>
    <n v="8000"/>
    <x v="0"/>
    <x v="1"/>
  </r>
  <r>
    <n v="20000"/>
    <x v="1"/>
    <x v="5"/>
  </r>
  <r>
    <n v="170000"/>
    <x v="1"/>
    <x v="1"/>
  </r>
  <r>
    <n v="20000"/>
    <x v="0"/>
    <x v="5"/>
  </r>
  <r>
    <n v="10000"/>
    <x v="0"/>
    <x v="5"/>
  </r>
  <r>
    <n v="5000"/>
    <x v="0"/>
    <x v="5"/>
  </r>
  <r>
    <n v="3500"/>
    <x v="0"/>
    <x v="5"/>
  </r>
  <r>
    <n v="4300"/>
    <x v="0"/>
    <x v="6"/>
  </r>
  <r>
    <n v="3085"/>
    <x v="1"/>
    <x v="7"/>
  </r>
  <r>
    <n v="900"/>
    <x v="1"/>
    <x v="0"/>
  </r>
  <r>
    <n v="20000"/>
    <x v="1"/>
    <x v="1"/>
  </r>
  <r>
    <n v="6500"/>
    <x v="1"/>
    <x v="8"/>
  </r>
  <r>
    <n v="1500"/>
    <x v="1"/>
    <x v="9"/>
  </r>
  <r>
    <n v="500"/>
    <x v="1"/>
    <x v="10"/>
  </r>
  <r>
    <n v="500"/>
    <x v="1"/>
    <x v="0"/>
  </r>
  <r>
    <n v="350"/>
    <x v="1"/>
    <x v="11"/>
  </r>
  <r>
    <n v="9500"/>
    <x v="1"/>
    <x v="12"/>
  </r>
  <r>
    <n v="13000"/>
    <x v="1"/>
    <x v="13"/>
  </r>
  <r>
    <n v="180000"/>
    <x v="0"/>
    <x v="1"/>
  </r>
  <r>
    <n v="1300"/>
    <x v="0"/>
    <x v="10"/>
  </r>
  <r>
    <n v="650"/>
    <x v="0"/>
    <x v="0"/>
  </r>
  <r>
    <n v="750"/>
    <x v="0"/>
    <x v="0"/>
  </r>
  <r>
    <n v="950"/>
    <x v="0"/>
    <x v="14"/>
  </r>
  <r>
    <n v="1000"/>
    <x v="0"/>
    <x v="9"/>
  </r>
  <r>
    <n v="15000"/>
    <x v="1"/>
    <x v="9"/>
  </r>
  <r>
    <n v="1900"/>
    <x v="0"/>
    <x v="3"/>
  </r>
  <r>
    <n v="700"/>
    <x v="0"/>
    <x v="9"/>
  </r>
  <r>
    <n v="1900"/>
    <x v="1"/>
    <x v="3"/>
  </r>
  <r>
    <n v="800"/>
    <x v="1"/>
    <x v="15"/>
  </r>
  <r>
    <n v="800"/>
    <x v="1"/>
    <x v="14"/>
  </r>
  <r>
    <n v="500"/>
    <x v="1"/>
    <x v="16"/>
  </r>
  <r>
    <n v="6000"/>
    <x v="1"/>
    <x v="16"/>
  </r>
  <r>
    <n v="12200"/>
    <x v="1"/>
    <x v="17"/>
  </r>
  <r>
    <n v="1750"/>
    <x v="1"/>
    <x v="15"/>
  </r>
  <r>
    <n v="3000"/>
    <x v="0"/>
    <x v="15"/>
  </r>
  <r>
    <n v="4000"/>
    <x v="0"/>
    <x v="3"/>
  </r>
  <r>
    <n v="450"/>
    <x v="0"/>
    <x v="15"/>
  </r>
  <r>
    <n v="950"/>
    <x v="0"/>
    <x v="14"/>
  </r>
  <r>
    <n v="3000"/>
    <x v="0"/>
    <x v="15"/>
  </r>
  <r>
    <n v="11000"/>
    <x v="0"/>
    <x v="18"/>
  </r>
  <r>
    <n v="7400"/>
    <x v="0"/>
    <x v="17"/>
  </r>
  <r>
    <n v="800"/>
    <x v="0"/>
    <x v="17"/>
  </r>
  <r>
    <n v="900"/>
    <x v="0"/>
    <x v="2"/>
  </r>
  <r>
    <n v="1750"/>
    <x v="1"/>
    <x v="3"/>
  </r>
  <r>
    <n v="14000"/>
    <x v="1"/>
    <x v="17"/>
  </r>
  <r>
    <n v="10000"/>
    <x v="1"/>
    <x v="18"/>
  </r>
  <r>
    <n v="3500"/>
    <x v="1"/>
    <x v="16"/>
  </r>
  <r>
    <n v="680"/>
    <x v="1"/>
    <x v="19"/>
  </r>
  <r>
    <n v="1100"/>
    <x v="0"/>
    <x v="17"/>
  </r>
  <r>
    <n v="1000"/>
    <x v="0"/>
    <x v="3"/>
  </r>
  <r>
    <n v="1900"/>
    <x v="0"/>
    <x v="3"/>
  </r>
  <r>
    <n v="1000"/>
    <x v="0"/>
    <x v="16"/>
  </r>
  <r>
    <n v="300"/>
    <x v="1"/>
    <x v="20"/>
  </r>
  <r>
    <n v="2500"/>
    <x v="1"/>
    <x v="7"/>
  </r>
  <r>
    <n v="5000"/>
    <x v="1"/>
    <x v="15"/>
  </r>
  <r>
    <n v="2000"/>
    <x v="1"/>
    <x v="21"/>
  </r>
  <r>
    <n v="2500"/>
    <x v="1"/>
    <x v="22"/>
  </r>
  <r>
    <n v="1750"/>
    <x v="1"/>
    <x v="3"/>
  </r>
  <r>
    <n v="250"/>
    <x v="1"/>
    <x v="14"/>
  </r>
  <r>
    <n v="2200"/>
    <x v="1"/>
    <x v="7"/>
  </r>
  <r>
    <n v="500"/>
    <x v="1"/>
    <x v="14"/>
  </r>
  <r>
    <n v="1000"/>
    <x v="1"/>
    <x v="16"/>
  </r>
  <r>
    <n v="500"/>
    <x v="1"/>
    <x v="11"/>
  </r>
  <r>
    <n v="1000"/>
    <x v="1"/>
    <x v="23"/>
  </r>
  <r>
    <n v="150"/>
    <x v="1"/>
    <x v="14"/>
  </r>
  <r>
    <n v="1000"/>
    <x v="1"/>
    <x v="24"/>
  </r>
  <r>
    <n v="200"/>
    <x v="1"/>
    <x v="14"/>
  </r>
  <r>
    <n v="3250"/>
    <x v="1"/>
    <x v="25"/>
  </r>
  <r>
    <n v="2200"/>
    <x v="1"/>
    <x v="7"/>
  </r>
  <r>
    <n v="4000"/>
    <x v="1"/>
    <x v="23"/>
  </r>
  <r>
    <n v="5000"/>
    <x v="1"/>
    <x v="26"/>
  </r>
  <r>
    <n v="36000"/>
    <x v="1"/>
    <x v="23"/>
  </r>
  <r>
    <n v="4000"/>
    <x v="1"/>
    <x v="23"/>
  </r>
  <r>
    <n v="80000"/>
    <x v="1"/>
    <x v="23"/>
  </r>
  <r>
    <n v="750"/>
    <x v="1"/>
    <x v="27"/>
  </r>
  <r>
    <n v="200"/>
    <x v="1"/>
    <x v="23"/>
  </r>
  <r>
    <n v="250"/>
    <x v="1"/>
    <x v="23"/>
  </r>
  <r>
    <n v="13500"/>
    <x v="1"/>
    <x v="23"/>
  </r>
  <r>
    <n v="5000"/>
    <x v="1"/>
    <x v="23"/>
  </r>
  <r>
    <n v="6000"/>
    <x v="0"/>
    <x v="16"/>
  </r>
  <r>
    <n v="10000"/>
    <x v="0"/>
    <x v="16"/>
  </r>
  <r>
    <n v="5000"/>
    <x v="0"/>
    <x v="15"/>
  </r>
  <r>
    <n v="1000"/>
    <x v="0"/>
    <x v="16"/>
  </r>
  <r>
    <n v="2000"/>
    <x v="0"/>
    <x v="3"/>
  </r>
  <r>
    <n v="35000"/>
    <x v="0"/>
    <x v="23"/>
  </r>
  <r>
    <n v="50000"/>
    <x v="0"/>
    <x v="23"/>
  </r>
  <r>
    <n v="5500"/>
    <x v="1"/>
    <x v="28"/>
  </r>
  <r>
    <n v="5000"/>
    <x v="1"/>
    <x v="29"/>
  </r>
  <r>
    <n v="1000"/>
    <x v="1"/>
    <x v="30"/>
  </r>
  <r>
    <n v="2200"/>
    <x v="1"/>
    <x v="7"/>
  </r>
  <r>
    <n v="3000"/>
    <x v="1"/>
    <x v="23"/>
  </r>
  <r>
    <n v="5000"/>
    <x v="1"/>
    <x v="26"/>
  </r>
  <r>
    <n v="23000"/>
    <x v="1"/>
    <x v="31"/>
  </r>
  <r>
    <n v="15000"/>
    <x v="0"/>
    <x v="15"/>
  </r>
  <r>
    <n v="10000"/>
    <x v="0"/>
    <x v="15"/>
  </r>
  <r>
    <n v="11000"/>
    <x v="0"/>
    <x v="3"/>
  </r>
  <r>
    <n v="6350"/>
    <x v="0"/>
    <x v="7"/>
  </r>
  <r>
    <n v="7000"/>
    <x v="0"/>
    <x v="16"/>
  </r>
  <r>
    <n v="10000"/>
    <x v="0"/>
    <x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0E235B-04B6-4BD7-899E-CB1582286E74}" name="PivotTable4" cacheId="1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V4:Y38" firstHeaderRow="1" firstDataRow="2" firstDataCol="1"/>
  <pivotFields count="3">
    <pivotField dataField="1" compact="0" numFmtId="165" outline="0" showAll="0"/>
    <pivotField axis="axisCol" compact="0" outline="0" showAll="0">
      <items count="3">
        <item x="1"/>
        <item x="0"/>
        <item t="default"/>
      </items>
    </pivotField>
    <pivotField axis="axisRow" compact="0" outline="0" showAll="0">
      <items count="33">
        <item x="1"/>
        <item x="12"/>
        <item x="4"/>
        <item x="5"/>
        <item x="17"/>
        <item x="0"/>
        <item x="14"/>
        <item x="10"/>
        <item x="16"/>
        <item x="9"/>
        <item x="6"/>
        <item x="11"/>
        <item x="8"/>
        <item x="2"/>
        <item x="15"/>
        <item x="13"/>
        <item x="18"/>
        <item x="3"/>
        <item x="7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</pivotFields>
  <rowFields count="1">
    <field x="2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Amount" fld="0" baseField="0" baseItem="0"/>
  </dataFields>
  <chartFormats count="3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0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8F9EE1-CBDB-41C7-8357-3D33A08472BE}" name="Table1" displayName="Table1" ref="A3:E397" totalsRowShown="0">
  <autoFilter ref="A3:E397" xr:uid="{7D8F9EE1-CBDB-41C7-8357-3D33A08472BE}"/>
  <sortState xmlns:xlrd2="http://schemas.microsoft.com/office/spreadsheetml/2017/richdata2" ref="A4:E222">
    <sortCondition ref="A3:A222"/>
  </sortState>
  <tableColumns count="5">
    <tableColumn id="1" xr3:uid="{2E34E331-B34C-4EE2-8E82-EC54C21C4CF8}" name="Date" dataDxfId="2" totalsRowDxfId="3"/>
    <tableColumn id="2" xr3:uid="{FDFE1447-286E-464F-9778-7C6C3A6B7849}" name="Description" dataDxfId="1"/>
    <tableColumn id="3" xr3:uid="{F61807FF-A116-4CC5-98BB-7F9CE71E1C80}" name="Amount" dataDxfId="0"/>
    <tableColumn id="4" xr3:uid="{DA81F7D7-8FA3-4FDF-9AA9-61D30EA7DA27}" name="Who Paid"/>
    <tableColumn id="5" xr3:uid="{5E81FEDA-12BE-443F-98B5-31C2324534C5}" name="Expense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CEBABCC-B637-4DF5-AED3-7193598FF31C}">
  <we:reference id="WA104168603" version="1.0.0.6" store="en-US" storeType="omex"/>
  <we:alternateReferences>
    <we:reference id="WA104168603" version="1.0.0.6" store="omex" storeType="omex"/>
  </we:alternateReferences>
  <we:properties>
    <we:property name="savedSettings" value="{&quot;state&quot;:{&quot;seed&quot;:47744,&quot;currentseed&quot;:null,&quot;powerbi&quot;:{&quot;datasetId&quot;:null,&quot;tableName&quot;:null,&quot;datasetName&quot;:null},&quot;powerBILoaded&quot;:false,&quot;VisualizationName&quot;:&quot;Power Bubbles&quot;,&quot;category&quot;:&quot;Country&quot;,&quot;aggregate&quot;:&quot;Sum&quot;,&quot;measure&quot;:&quot;Sales_Amount&quot;,&quot;minDate&quot;:&quot;Date(1657996200000)&quot;,&quot;maxDate&quot;:&quot;Date(1658601000000)&quot;,&quot;toolbarVisible&quot;:false},&quot;date&quot;:&quot;Thu, 25 Aug 2022 06:27:02 GMT&quot;,&quot;appVersion&quot;:&quot;1.140.6206.22452, 28-12-2016 12:28:24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4B084"/>
  </sheetPr>
  <dimension ref="A1:Z397"/>
  <sheetViews>
    <sheetView tabSelected="1" workbookViewId="0">
      <pane ySplit="1" topLeftCell="A383" activePane="bottomLeft" state="frozen"/>
      <selection pane="bottomLeft" activeCell="D397" sqref="D397"/>
    </sheetView>
  </sheetViews>
  <sheetFormatPr defaultRowHeight="15"/>
  <cols>
    <col min="1" max="1" width="29.85546875" style="27" customWidth="1"/>
    <col min="2" max="2" width="62" style="30" customWidth="1"/>
    <col min="3" max="3" width="28.42578125" style="22" customWidth="1"/>
    <col min="4" max="4" width="9.85546875" customWidth="1"/>
    <col min="5" max="5" width="41" bestFit="1" customWidth="1"/>
    <col min="6" max="6" width="40.7109375" customWidth="1"/>
    <col min="7" max="7" width="46" style="26" customWidth="1"/>
    <col min="8" max="8" width="10.28515625" customWidth="1"/>
    <col min="9" max="9" width="7" bestFit="1" customWidth="1"/>
    <col min="10" max="10" width="10.7109375" customWidth="1"/>
    <col min="11" max="11" width="13.7109375" style="3" bestFit="1" customWidth="1"/>
    <col min="12" max="12" width="12.7109375" style="13" bestFit="1" customWidth="1"/>
    <col min="13" max="13" width="5.28515625" bestFit="1" customWidth="1"/>
    <col min="14" max="14" width="27.5703125" customWidth="1"/>
    <col min="15" max="15" width="3.28515625" bestFit="1" customWidth="1"/>
    <col min="16" max="16" width="8.140625" bestFit="1" customWidth="1"/>
    <col min="17" max="17" width="8.7109375" bestFit="1" customWidth="1"/>
    <col min="22" max="22" width="34.5703125" bestFit="1" customWidth="1"/>
    <col min="23" max="23" width="12.85546875" bestFit="1" customWidth="1"/>
    <col min="24" max="24" width="7.7109375" bestFit="1" customWidth="1"/>
    <col min="25" max="25" width="11.7109375" bestFit="1" customWidth="1"/>
    <col min="26" max="26" width="8" bestFit="1" customWidth="1"/>
    <col min="27" max="27" width="10.42578125" bestFit="1" customWidth="1"/>
    <col min="28" max="28" width="5.5703125" bestFit="1" customWidth="1"/>
    <col min="29" max="29" width="6" bestFit="1" customWidth="1"/>
    <col min="30" max="30" width="10.140625" bestFit="1" customWidth="1"/>
    <col min="31" max="31" width="7.28515625" bestFit="1" customWidth="1"/>
    <col min="32" max="32" width="8.140625" bestFit="1" customWidth="1"/>
    <col min="33" max="33" width="18.28515625" bestFit="1" customWidth="1"/>
    <col min="34" max="34" width="13.7109375" bestFit="1" customWidth="1"/>
    <col min="35" max="35" width="19.5703125" bestFit="1" customWidth="1"/>
    <col min="36" max="36" width="5.42578125" bestFit="1" customWidth="1"/>
    <col min="37" max="37" width="9.5703125" bestFit="1" customWidth="1"/>
    <col min="38" max="38" width="11" bestFit="1" customWidth="1"/>
    <col min="39" max="39" width="6.5703125" bestFit="1" customWidth="1"/>
    <col min="40" max="40" width="9.85546875" bestFit="1" customWidth="1"/>
    <col min="41" max="41" width="6.5703125" bestFit="1" customWidth="1"/>
    <col min="42" max="43" width="11.7109375" bestFit="1" customWidth="1"/>
  </cols>
  <sheetData>
    <row r="1" spans="1:26" ht="38.25" customHeight="1">
      <c r="A1" s="57" t="s">
        <v>0</v>
      </c>
      <c r="B1" s="57"/>
      <c r="C1" s="57"/>
      <c r="D1" s="57"/>
      <c r="E1" s="57"/>
      <c r="F1" s="55" t="s">
        <v>1</v>
      </c>
      <c r="G1" s="55"/>
      <c r="H1" s="55"/>
      <c r="I1" s="55"/>
      <c r="J1" s="55"/>
      <c r="K1" s="39"/>
      <c r="L1" s="40"/>
    </row>
    <row r="2" spans="1:26" ht="15" customHeight="1">
      <c r="A2" s="57"/>
      <c r="B2" s="57"/>
      <c r="C2" s="57"/>
      <c r="D2" s="57"/>
      <c r="E2" s="57"/>
      <c r="F2" s="56"/>
      <c r="G2" s="56"/>
      <c r="H2" s="56"/>
      <c r="I2" s="56"/>
      <c r="J2" s="56"/>
      <c r="K2" s="41"/>
      <c r="L2" s="42"/>
      <c r="V2" s="18"/>
      <c r="W2" s="54" t="s">
        <v>2</v>
      </c>
      <c r="X2" s="54"/>
      <c r="Y2" s="54"/>
      <c r="Z2" s="18"/>
    </row>
    <row r="3" spans="1:26">
      <c r="A3" s="28" t="s">
        <v>3</v>
      </c>
      <c r="B3" s="31" t="s">
        <v>4</v>
      </c>
      <c r="C3" s="23" t="s">
        <v>5</v>
      </c>
      <c r="D3" s="1" t="s">
        <v>6</v>
      </c>
      <c r="E3" t="s">
        <v>7</v>
      </c>
      <c r="F3" s="12" t="s">
        <v>8</v>
      </c>
      <c r="G3" s="25" t="s">
        <v>9</v>
      </c>
      <c r="H3" s="14" t="s">
        <v>10</v>
      </c>
      <c r="J3" s="15" t="s">
        <v>11</v>
      </c>
      <c r="K3" s="16" t="s">
        <v>12</v>
      </c>
      <c r="L3" s="17" t="s">
        <v>13</v>
      </c>
      <c r="V3" s="19" t="s">
        <v>3</v>
      </c>
      <c r="W3" s="20" t="s">
        <v>14</v>
      </c>
      <c r="X3" s="20" t="s">
        <v>10</v>
      </c>
      <c r="Y3" s="20" t="s">
        <v>5</v>
      </c>
      <c r="Z3" s="21" t="s">
        <v>15</v>
      </c>
    </row>
    <row r="4" spans="1:26" ht="15.75">
      <c r="A4" s="27">
        <v>44567</v>
      </c>
      <c r="B4" s="32" t="s">
        <v>16</v>
      </c>
      <c r="C4" s="22">
        <v>7000</v>
      </c>
      <c r="D4" t="s">
        <v>17</v>
      </c>
      <c r="E4" s="3" t="s">
        <v>18</v>
      </c>
      <c r="F4" t="str" cm="1">
        <f t="array" ref="F4">IFERROR(INDEX(_xlfn.ANCHORARRAY($J$4),SMALL(IF((_xlfn.ANCHORARRAY($L$4)+SUMIF($F$3:F3,_xlfn.ANCHORARRAY($J$4),$G$3:G3))&lt;0,_xlfn.SEQUENCE(COUNT(_xlfn.ANCHORARRAY($L$4))),""),1)),"")</f>
        <v>Mahesh</v>
      </c>
      <c r="G4" s="33" cm="1">
        <f t="array" aca="1" ref="G4" ca="1">IFERROR(ABS(IF(ABS(_xlfn._xlws.FILTER(_xlfn.ANCHORARRAY($L$4)+SUMIF($F$3:F3,_xlfn.ANCHORARRAY($J$4),$G$3:H3)-SUMIF($H$3:I3,_xlfn.ANCHORARRAY($J$4),$G$3:G3),_xlfn.ANCHORARRAY($J$4)=F4))&lt;_xlfn._xlws.FILTER(_xlfn.ANCHORARRAY($L$4)+SUMIF($F$3:F3,_xlfn.ANCHORARRAY($J$4),$G$3:G3)-SUMIF($H$3:H3,_xlfn.ANCHORARRAY($J$4),$G$3:G3),_xlfn.ANCHORARRAY($J$4)=H4),_xlfn._xlws.FILTER(_xlfn.ANCHORARRAY($L$4)+SUMIF($F$3:F3,_xlfn.ANCHORARRAY($J$4),$G$3:G3)-SUMIF($H$3:H3,_xlfn.ANCHORARRAY($J$4),$G$3:G3),_xlfn.ANCHORARRAY($J$4)=F4),_xlfn._xlws.FILTER(_xlfn.ANCHORARRAY($L$4)+SUMIF($F$3:F3,_xlfn.ANCHORARRAY($J$4),$G$3:G3)-SUMIF($H$3:H3,_xlfn.ANCHORARRAY($J$4),$G$3:G3),_xlfn.ANCHORARRAY($J$4)=H4))),"")</f>
        <v>4918.5</v>
      </c>
      <c r="H4" t="str" cm="1">
        <f t="array" ref="H4">IFERROR(INDEX(_xlfn.ANCHORARRAY($J$4),SMALL(IF((_xlfn.ANCHORARRAY($L$4)-SUMIF($H$3:H3,_xlfn.ANCHORARRAY($L$4),$G$3:G3))&gt;0.1,_xlfn.SEQUENCE(COUNT(_xlfn.ANCHORARRAY($L$4))),""),1)),"")</f>
        <v>Satish</v>
      </c>
      <c r="J4" t="str" cm="1">
        <f t="array" ref="J4:J5">_xlfn.UNIQUE(Table1[Who Paid])</f>
        <v>Mahesh</v>
      </c>
      <c r="K4" s="3" cm="1">
        <f t="array" ref="K4:K5">SUMIF(Table1[Who Paid],_xlfn.ANCHORARRAY(J4),Table1[Amount])</f>
        <v>1483180</v>
      </c>
      <c r="L4" s="24" cm="1">
        <f t="array" ref="L4:L5">_xlfn.ANCHORARRAY(K4)-SUM(Table1[Amount])/COUNTA(_xlfn.UNIQUE(Table1[Who Paid]))</f>
        <v>-4918.5</v>
      </c>
      <c r="V4" s="36" t="s">
        <v>19</v>
      </c>
      <c r="W4" s="36" t="s">
        <v>6</v>
      </c>
    </row>
    <row r="5" spans="1:26" ht="60.75">
      <c r="A5" s="29">
        <v>44597</v>
      </c>
      <c r="B5" s="32" t="s">
        <v>20</v>
      </c>
      <c r="C5" s="22">
        <v>1600</v>
      </c>
      <c r="D5" s="2" t="s">
        <v>17</v>
      </c>
      <c r="E5" t="s">
        <v>21</v>
      </c>
      <c r="G5" s="34"/>
      <c r="J5" t="str">
        <v>Satish</v>
      </c>
      <c r="K5" s="3">
        <v>1493017</v>
      </c>
      <c r="L5" s="24">
        <v>4918.5</v>
      </c>
      <c r="V5" s="36" t="s">
        <v>7</v>
      </c>
      <c r="W5" t="s">
        <v>17</v>
      </c>
      <c r="X5" t="s">
        <v>22</v>
      </c>
      <c r="Y5" t="s">
        <v>23</v>
      </c>
    </row>
    <row r="6" spans="1:26">
      <c r="A6" s="29">
        <v>44597</v>
      </c>
      <c r="B6" s="32" t="s">
        <v>24</v>
      </c>
      <c r="C6" s="22">
        <v>350</v>
      </c>
      <c r="D6" s="2" t="s">
        <v>17</v>
      </c>
      <c r="E6" t="s">
        <v>21</v>
      </c>
      <c r="G6" s="35"/>
      <c r="I6" s="3"/>
      <c r="V6" t="s">
        <v>18</v>
      </c>
      <c r="W6" s="37">
        <v>200000</v>
      </c>
      <c r="X6" s="37">
        <v>189000</v>
      </c>
      <c r="Y6" s="37">
        <v>389000</v>
      </c>
    </row>
    <row r="7" spans="1:26">
      <c r="A7" s="27">
        <v>44604</v>
      </c>
      <c r="B7" s="32" t="s">
        <v>25</v>
      </c>
      <c r="C7" s="22">
        <v>600</v>
      </c>
      <c r="D7" t="s">
        <v>22</v>
      </c>
      <c r="E7" t="s">
        <v>26</v>
      </c>
      <c r="G7" s="35"/>
      <c r="I7" s="3"/>
      <c r="V7" t="s">
        <v>27</v>
      </c>
      <c r="W7" s="37">
        <v>9500</v>
      </c>
      <c r="X7" s="37"/>
      <c r="Y7" s="37">
        <v>9500</v>
      </c>
    </row>
    <row r="8" spans="1:26" ht="45.75" customHeight="1">
      <c r="A8" s="27">
        <v>44611</v>
      </c>
      <c r="B8" s="32" t="s">
        <v>16</v>
      </c>
      <c r="C8" s="22">
        <v>3000</v>
      </c>
      <c r="D8" s="2" t="s">
        <v>17</v>
      </c>
      <c r="E8" s="3" t="s">
        <v>18</v>
      </c>
      <c r="G8" s="34"/>
      <c r="V8" t="s">
        <v>28</v>
      </c>
      <c r="W8" s="37">
        <v>95500</v>
      </c>
      <c r="X8" s="37">
        <v>75000</v>
      </c>
      <c r="Y8" s="37">
        <v>170500</v>
      </c>
    </row>
    <row r="9" spans="1:26">
      <c r="A9" s="27">
        <v>44611</v>
      </c>
      <c r="B9" s="32" t="s">
        <v>29</v>
      </c>
      <c r="C9" s="22">
        <v>2000</v>
      </c>
      <c r="D9" t="s">
        <v>17</v>
      </c>
      <c r="E9" t="s">
        <v>21</v>
      </c>
      <c r="G9" s="34"/>
      <c r="V9" t="s">
        <v>30</v>
      </c>
      <c r="W9" s="37">
        <v>118500</v>
      </c>
      <c r="X9" s="37">
        <v>219537</v>
      </c>
      <c r="Y9" s="37">
        <v>338037</v>
      </c>
    </row>
    <row r="10" spans="1:26" ht="45.75">
      <c r="A10" s="27">
        <v>44611</v>
      </c>
      <c r="B10" s="32" t="s">
        <v>31</v>
      </c>
      <c r="C10" s="22">
        <v>1750</v>
      </c>
      <c r="D10" s="2" t="s">
        <v>17</v>
      </c>
      <c r="E10" t="s">
        <v>32</v>
      </c>
      <c r="G10" s="34"/>
      <c r="V10" t="s">
        <v>33</v>
      </c>
      <c r="W10" s="37">
        <v>26200</v>
      </c>
      <c r="X10" s="37">
        <v>9300</v>
      </c>
      <c r="Y10" s="37">
        <v>35500</v>
      </c>
    </row>
    <row r="11" spans="1:26">
      <c r="A11" s="27">
        <v>44611</v>
      </c>
      <c r="B11" s="32" t="s">
        <v>34</v>
      </c>
      <c r="C11" s="22">
        <v>1000</v>
      </c>
      <c r="D11" t="s">
        <v>22</v>
      </c>
      <c r="E11" s="3" t="s">
        <v>18</v>
      </c>
      <c r="G11" s="34"/>
      <c r="V11" t="s">
        <v>26</v>
      </c>
      <c r="W11" s="37">
        <v>2635</v>
      </c>
      <c r="X11" s="37">
        <v>4550</v>
      </c>
      <c r="Y11" s="37">
        <v>7185</v>
      </c>
    </row>
    <row r="12" spans="1:26">
      <c r="A12" s="27">
        <v>44611</v>
      </c>
      <c r="B12" s="32" t="s">
        <v>35</v>
      </c>
      <c r="C12" s="22">
        <v>300</v>
      </c>
      <c r="D12" t="s">
        <v>22</v>
      </c>
      <c r="E12" t="s">
        <v>26</v>
      </c>
      <c r="G12" s="34"/>
      <c r="V12" t="s">
        <v>36</v>
      </c>
      <c r="W12" s="37">
        <v>1900</v>
      </c>
      <c r="X12" s="37">
        <v>1900</v>
      </c>
      <c r="Y12" s="37">
        <v>3800</v>
      </c>
    </row>
    <row r="13" spans="1:26">
      <c r="A13" s="29">
        <v>44625</v>
      </c>
      <c r="B13" s="32" t="s">
        <v>37</v>
      </c>
      <c r="C13" s="22">
        <v>53000</v>
      </c>
      <c r="D13" t="s">
        <v>17</v>
      </c>
      <c r="E13" t="s">
        <v>30</v>
      </c>
      <c r="G13" s="34"/>
      <c r="V13" t="s">
        <v>38</v>
      </c>
      <c r="W13" s="37">
        <v>500</v>
      </c>
      <c r="X13" s="37">
        <v>1300</v>
      </c>
      <c r="Y13" s="37">
        <v>1800</v>
      </c>
    </row>
    <row r="14" spans="1:26">
      <c r="A14" s="29">
        <v>44625</v>
      </c>
      <c r="B14" s="32" t="s">
        <v>39</v>
      </c>
      <c r="C14" s="22">
        <v>50000</v>
      </c>
      <c r="D14" t="s">
        <v>17</v>
      </c>
      <c r="E14" t="s">
        <v>28</v>
      </c>
      <c r="G14" s="34"/>
      <c r="V14" t="s">
        <v>40</v>
      </c>
      <c r="W14" s="37">
        <v>11000</v>
      </c>
      <c r="X14" s="37">
        <v>35000</v>
      </c>
      <c r="Y14" s="37">
        <v>46000</v>
      </c>
    </row>
    <row r="15" spans="1:26">
      <c r="A15" s="29">
        <v>44625</v>
      </c>
      <c r="B15" s="32" t="s">
        <v>39</v>
      </c>
      <c r="C15" s="22">
        <v>45000</v>
      </c>
      <c r="D15" t="s">
        <v>22</v>
      </c>
      <c r="E15" t="s">
        <v>28</v>
      </c>
      <c r="G15" s="34"/>
      <c r="V15" t="s">
        <v>41</v>
      </c>
      <c r="W15" s="37">
        <v>16500</v>
      </c>
      <c r="X15" s="37">
        <v>1700</v>
      </c>
      <c r="Y15" s="37">
        <v>18200</v>
      </c>
    </row>
    <row r="16" spans="1:26">
      <c r="A16" s="29">
        <v>44625</v>
      </c>
      <c r="B16" s="32" t="s">
        <v>37</v>
      </c>
      <c r="C16" s="22">
        <v>31000</v>
      </c>
      <c r="D16" t="s">
        <v>22</v>
      </c>
      <c r="E16" t="s">
        <v>30</v>
      </c>
      <c r="G16" s="34"/>
      <c r="V16" t="s">
        <v>42</v>
      </c>
      <c r="W16" s="37">
        <v>34500</v>
      </c>
      <c r="X16" s="37">
        <v>13800</v>
      </c>
      <c r="Y16" s="37">
        <v>48300</v>
      </c>
    </row>
    <row r="17" spans="1:25" ht="60.75">
      <c r="A17" s="29">
        <v>44625</v>
      </c>
      <c r="B17" s="32" t="s">
        <v>43</v>
      </c>
      <c r="C17" s="22">
        <v>1700</v>
      </c>
      <c r="D17" s="2" t="s">
        <v>17</v>
      </c>
      <c r="E17" t="s">
        <v>32</v>
      </c>
      <c r="G17" s="34"/>
      <c r="V17" t="s">
        <v>44</v>
      </c>
      <c r="W17" s="37">
        <v>850</v>
      </c>
      <c r="X17" s="37"/>
      <c r="Y17" s="37">
        <v>850</v>
      </c>
    </row>
    <row r="18" spans="1:25">
      <c r="A18" s="29">
        <v>44625</v>
      </c>
      <c r="B18" s="32" t="s">
        <v>45</v>
      </c>
      <c r="C18" s="22">
        <v>300</v>
      </c>
      <c r="D18" t="s">
        <v>22</v>
      </c>
      <c r="E18" t="s">
        <v>26</v>
      </c>
      <c r="G18" s="34"/>
      <c r="V18" t="s">
        <v>46</v>
      </c>
      <c r="W18" s="37">
        <v>6500</v>
      </c>
      <c r="X18" s="37"/>
      <c r="Y18" s="37">
        <v>6500</v>
      </c>
    </row>
    <row r="19" spans="1:25">
      <c r="A19" s="29">
        <v>44625</v>
      </c>
      <c r="B19" s="32" t="s">
        <v>24</v>
      </c>
      <c r="C19" s="22">
        <v>300</v>
      </c>
      <c r="D19" t="s">
        <v>22</v>
      </c>
      <c r="E19" t="s">
        <v>21</v>
      </c>
      <c r="G19" s="34"/>
      <c r="V19" t="s">
        <v>21</v>
      </c>
      <c r="W19" s="37">
        <v>7450</v>
      </c>
      <c r="X19" s="37">
        <v>1200</v>
      </c>
      <c r="Y19" s="37">
        <v>8650</v>
      </c>
    </row>
    <row r="20" spans="1:25">
      <c r="A20" s="29">
        <v>44625</v>
      </c>
      <c r="B20" s="32" t="s">
        <v>47</v>
      </c>
      <c r="C20" s="22">
        <v>235</v>
      </c>
      <c r="D20" t="s">
        <v>17</v>
      </c>
      <c r="E20" t="s">
        <v>26</v>
      </c>
      <c r="G20" s="34"/>
      <c r="V20" t="s">
        <v>48</v>
      </c>
      <c r="W20" s="37">
        <v>7550</v>
      </c>
      <c r="X20" s="37">
        <v>36450</v>
      </c>
      <c r="Y20" s="37">
        <v>44000</v>
      </c>
    </row>
    <row r="21" spans="1:25">
      <c r="A21" s="27">
        <v>44627</v>
      </c>
      <c r="B21" s="32" t="s">
        <v>49</v>
      </c>
      <c r="C21" s="22">
        <v>129437</v>
      </c>
      <c r="D21" t="s">
        <v>22</v>
      </c>
      <c r="E21" t="s">
        <v>30</v>
      </c>
      <c r="G21" s="34"/>
      <c r="V21" t="s">
        <v>2</v>
      </c>
      <c r="W21" s="37">
        <v>13000</v>
      </c>
      <c r="X21" s="37"/>
      <c r="Y21" s="37">
        <v>13000</v>
      </c>
    </row>
    <row r="22" spans="1:25">
      <c r="A22" s="27">
        <v>44627</v>
      </c>
      <c r="B22" s="32" t="s">
        <v>50</v>
      </c>
      <c r="C22" s="22">
        <v>600</v>
      </c>
      <c r="D22" t="s">
        <v>22</v>
      </c>
      <c r="E22" t="s">
        <v>30</v>
      </c>
      <c r="G22" s="34"/>
      <c r="V22" t="s">
        <v>51</v>
      </c>
      <c r="W22" s="37">
        <v>10000</v>
      </c>
      <c r="X22" s="37">
        <v>11000</v>
      </c>
      <c r="Y22" s="37">
        <v>21000</v>
      </c>
    </row>
    <row r="23" spans="1:25">
      <c r="A23" s="29">
        <v>44643</v>
      </c>
      <c r="B23" s="32" t="s">
        <v>52</v>
      </c>
      <c r="C23" s="22">
        <v>20000</v>
      </c>
      <c r="D23" t="s">
        <v>17</v>
      </c>
      <c r="E23" t="s">
        <v>28</v>
      </c>
      <c r="G23" s="34"/>
      <c r="V23" t="s">
        <v>32</v>
      </c>
      <c r="W23" s="37">
        <v>14810</v>
      </c>
      <c r="X23" s="37">
        <v>23800</v>
      </c>
      <c r="Y23" s="37">
        <v>38610</v>
      </c>
    </row>
    <row r="24" spans="1:25">
      <c r="A24" s="29">
        <v>44645</v>
      </c>
      <c r="B24" s="32" t="s">
        <v>52</v>
      </c>
      <c r="C24" s="22">
        <v>30000</v>
      </c>
      <c r="D24" t="s">
        <v>22</v>
      </c>
      <c r="E24" t="s">
        <v>28</v>
      </c>
      <c r="G24" s="34"/>
      <c r="I24" s="3"/>
      <c r="V24" t="s">
        <v>53</v>
      </c>
      <c r="W24" s="37">
        <v>12185</v>
      </c>
      <c r="X24" s="37">
        <v>6350</v>
      </c>
      <c r="Y24" s="37">
        <v>18535</v>
      </c>
    </row>
    <row r="25" spans="1:25">
      <c r="A25" s="29">
        <v>44645</v>
      </c>
      <c r="B25" s="32" t="s">
        <v>54</v>
      </c>
      <c r="C25" s="22">
        <v>13000</v>
      </c>
      <c r="D25" t="s">
        <v>17</v>
      </c>
      <c r="E25" t="s">
        <v>30</v>
      </c>
      <c r="G25" s="34"/>
      <c r="V25" t="s">
        <v>55</v>
      </c>
      <c r="W25" s="37">
        <v>680</v>
      </c>
      <c r="X25" s="37"/>
      <c r="Y25" s="37">
        <v>680</v>
      </c>
    </row>
    <row r="26" spans="1:25" ht="45.75">
      <c r="A26" s="29">
        <v>44645</v>
      </c>
      <c r="B26" s="32" t="s">
        <v>56</v>
      </c>
      <c r="C26" s="22">
        <v>1800</v>
      </c>
      <c r="D26" s="2" t="s">
        <v>17</v>
      </c>
      <c r="E26" t="s">
        <v>32</v>
      </c>
      <c r="G26" s="34"/>
      <c r="V26" t="s">
        <v>57</v>
      </c>
      <c r="W26" s="37">
        <v>300</v>
      </c>
      <c r="X26" s="37"/>
      <c r="Y26" s="37">
        <v>300</v>
      </c>
    </row>
    <row r="27" spans="1:25">
      <c r="A27" s="29">
        <v>44645</v>
      </c>
      <c r="B27" s="32" t="s">
        <v>58</v>
      </c>
      <c r="C27" s="22">
        <v>1450</v>
      </c>
      <c r="D27" t="s">
        <v>22</v>
      </c>
      <c r="E27" t="s">
        <v>26</v>
      </c>
      <c r="G27" s="34"/>
      <c r="V27" t="s">
        <v>59</v>
      </c>
      <c r="W27" s="37">
        <v>2000</v>
      </c>
      <c r="X27" s="37"/>
      <c r="Y27" s="37">
        <v>2000</v>
      </c>
    </row>
    <row r="28" spans="1:25">
      <c r="A28" s="29">
        <v>44645</v>
      </c>
      <c r="B28" s="32" t="s">
        <v>60</v>
      </c>
      <c r="C28" s="22">
        <v>1000</v>
      </c>
      <c r="D28" t="s">
        <v>17</v>
      </c>
      <c r="E28" t="s">
        <v>21</v>
      </c>
      <c r="G28" s="34"/>
      <c r="V28" t="s">
        <v>61</v>
      </c>
      <c r="W28" s="37">
        <v>2500</v>
      </c>
      <c r="X28" s="37"/>
      <c r="Y28" s="37">
        <v>2500</v>
      </c>
    </row>
    <row r="29" spans="1:25">
      <c r="A29" s="29">
        <v>44645</v>
      </c>
      <c r="B29" s="32" t="s">
        <v>52</v>
      </c>
      <c r="C29" s="22">
        <v>500</v>
      </c>
      <c r="D29" t="s">
        <v>17</v>
      </c>
      <c r="E29" t="s">
        <v>28</v>
      </c>
      <c r="G29" s="34"/>
      <c r="V29" t="s">
        <v>62</v>
      </c>
      <c r="W29" s="37">
        <v>146950</v>
      </c>
      <c r="X29" s="37">
        <v>85000</v>
      </c>
      <c r="Y29" s="37">
        <v>231950</v>
      </c>
    </row>
    <row r="30" spans="1:25">
      <c r="A30" s="27">
        <v>44685</v>
      </c>
      <c r="B30" s="32" t="s">
        <v>63</v>
      </c>
      <c r="C30" s="22">
        <v>3000</v>
      </c>
      <c r="D30" t="s">
        <v>17</v>
      </c>
      <c r="E30" t="s">
        <v>30</v>
      </c>
      <c r="G30" s="34"/>
      <c r="V30" t="s">
        <v>64</v>
      </c>
      <c r="W30" s="37">
        <v>1000</v>
      </c>
      <c r="X30" s="37"/>
      <c r="Y30" s="37">
        <v>1000</v>
      </c>
    </row>
    <row r="31" spans="1:25">
      <c r="A31" s="27">
        <v>44685</v>
      </c>
      <c r="B31" s="32" t="s">
        <v>65</v>
      </c>
      <c r="C31" s="22">
        <v>2000</v>
      </c>
      <c r="D31" t="s">
        <v>22</v>
      </c>
      <c r="E31" t="s">
        <v>32</v>
      </c>
      <c r="G31" s="34"/>
      <c r="V31" t="s">
        <v>66</v>
      </c>
      <c r="W31" s="37">
        <v>3250</v>
      </c>
      <c r="X31" s="37"/>
      <c r="Y31" s="37">
        <v>3250</v>
      </c>
    </row>
    <row r="32" spans="1:25">
      <c r="A32" s="27">
        <v>44685</v>
      </c>
      <c r="B32" s="32" t="s">
        <v>67</v>
      </c>
      <c r="C32" s="22">
        <v>500</v>
      </c>
      <c r="D32" t="s">
        <v>17</v>
      </c>
      <c r="E32" t="s">
        <v>26</v>
      </c>
      <c r="G32" s="34"/>
      <c r="V32" t="s">
        <v>68</v>
      </c>
      <c r="W32" s="37">
        <v>10000</v>
      </c>
      <c r="X32" s="37"/>
      <c r="Y32" s="37">
        <v>10000</v>
      </c>
    </row>
    <row r="33" spans="1:25">
      <c r="A33" s="27">
        <v>44685</v>
      </c>
      <c r="B33" s="32" t="s">
        <v>69</v>
      </c>
      <c r="C33" s="22">
        <v>500</v>
      </c>
      <c r="D33" t="s">
        <v>22</v>
      </c>
      <c r="E33" t="s">
        <v>26</v>
      </c>
      <c r="G33" s="34"/>
      <c r="V33" t="s">
        <v>70</v>
      </c>
      <c r="W33" s="37">
        <v>750</v>
      </c>
      <c r="X33" s="37"/>
      <c r="Y33" s="37">
        <v>750</v>
      </c>
    </row>
    <row r="34" spans="1:25">
      <c r="A34" s="27">
        <v>44689</v>
      </c>
      <c r="B34" s="32" t="s">
        <v>71</v>
      </c>
      <c r="C34" s="22">
        <v>10500</v>
      </c>
      <c r="D34" t="s">
        <v>17</v>
      </c>
      <c r="E34" t="s">
        <v>30</v>
      </c>
      <c r="G34" s="34"/>
      <c r="V34" t="s">
        <v>72</v>
      </c>
      <c r="W34" s="37">
        <v>5500</v>
      </c>
      <c r="X34" s="37"/>
      <c r="Y34" s="37">
        <v>5500</v>
      </c>
    </row>
    <row r="35" spans="1:25" ht="30.75">
      <c r="A35" s="27">
        <v>44689</v>
      </c>
      <c r="B35" s="32" t="s">
        <v>73</v>
      </c>
      <c r="C35" s="22">
        <v>7300</v>
      </c>
      <c r="D35" t="s">
        <v>17</v>
      </c>
      <c r="E35" t="s">
        <v>42</v>
      </c>
      <c r="G35" s="34" t="s">
        <v>74</v>
      </c>
      <c r="V35" t="s">
        <v>75</v>
      </c>
      <c r="W35" s="37">
        <v>5000</v>
      </c>
      <c r="X35" s="37"/>
      <c r="Y35" s="37">
        <v>5000</v>
      </c>
    </row>
    <row r="36" spans="1:25" ht="30.75">
      <c r="A36" s="27">
        <v>44689</v>
      </c>
      <c r="B36" s="32" t="s">
        <v>76</v>
      </c>
      <c r="C36" s="22">
        <v>2000</v>
      </c>
      <c r="D36" t="s">
        <v>17</v>
      </c>
      <c r="E36" t="s">
        <v>32</v>
      </c>
      <c r="G36" s="34" t="s">
        <v>77</v>
      </c>
      <c r="V36" t="s">
        <v>78</v>
      </c>
      <c r="W36" s="37">
        <v>1000</v>
      </c>
      <c r="X36" s="37"/>
      <c r="Y36" s="37">
        <v>1000</v>
      </c>
    </row>
    <row r="37" spans="1:25">
      <c r="A37" s="27">
        <v>44689</v>
      </c>
      <c r="B37" s="32" t="s">
        <v>60</v>
      </c>
      <c r="C37" s="22">
        <v>2000</v>
      </c>
      <c r="D37" t="s">
        <v>17</v>
      </c>
      <c r="E37" t="s">
        <v>21</v>
      </c>
      <c r="G37" s="34" t="s">
        <v>79</v>
      </c>
      <c r="V37" t="s">
        <v>80</v>
      </c>
      <c r="W37" s="37">
        <v>23000</v>
      </c>
      <c r="X37" s="37"/>
      <c r="Y37" s="37">
        <v>23000</v>
      </c>
    </row>
    <row r="38" spans="1:25">
      <c r="A38" s="27">
        <v>44689</v>
      </c>
      <c r="B38" s="32" t="s">
        <v>81</v>
      </c>
      <c r="C38" s="22">
        <v>1000</v>
      </c>
      <c r="D38" t="s">
        <v>17</v>
      </c>
      <c r="E38" t="s">
        <v>30</v>
      </c>
      <c r="G38" s="34"/>
      <c r="V38" t="s">
        <v>23</v>
      </c>
      <c r="W38" s="37">
        <v>791010</v>
      </c>
      <c r="X38" s="37">
        <v>714887</v>
      </c>
      <c r="Y38" s="37">
        <v>1505897</v>
      </c>
    </row>
    <row r="39" spans="1:25">
      <c r="A39" s="27">
        <v>44689</v>
      </c>
      <c r="B39" s="32" t="s">
        <v>82</v>
      </c>
      <c r="C39" s="22">
        <v>500</v>
      </c>
      <c r="D39" t="s">
        <v>17</v>
      </c>
      <c r="E39" t="s">
        <v>21</v>
      </c>
      <c r="G39" s="34"/>
    </row>
    <row r="40" spans="1:25">
      <c r="A40" s="27">
        <v>44700</v>
      </c>
      <c r="B40" s="32" t="s">
        <v>83</v>
      </c>
      <c r="C40" s="22">
        <v>27200</v>
      </c>
      <c r="D40" t="s">
        <v>17</v>
      </c>
      <c r="E40" t="s">
        <v>42</v>
      </c>
      <c r="G40" s="34"/>
    </row>
    <row r="41" spans="1:25" ht="30.75">
      <c r="A41" s="27">
        <v>44709</v>
      </c>
      <c r="B41" s="32" t="s">
        <v>84</v>
      </c>
      <c r="C41" s="22">
        <v>25000</v>
      </c>
      <c r="D41" t="s">
        <v>17</v>
      </c>
      <c r="E41" t="s">
        <v>28</v>
      </c>
      <c r="G41" s="34"/>
    </row>
    <row r="42" spans="1:25">
      <c r="A42" s="27">
        <v>44709</v>
      </c>
      <c r="B42" s="32" t="s">
        <v>85</v>
      </c>
      <c r="C42" s="22">
        <v>20000</v>
      </c>
      <c r="D42" t="s">
        <v>17</v>
      </c>
      <c r="E42" t="s">
        <v>30</v>
      </c>
      <c r="G42" s="34" t="s">
        <v>86</v>
      </c>
      <c r="H42">
        <v>25000</v>
      </c>
    </row>
    <row r="43" spans="1:25" ht="21" customHeight="1">
      <c r="A43" s="27">
        <v>44709</v>
      </c>
      <c r="B43" s="32" t="s">
        <v>87</v>
      </c>
      <c r="C43" s="22">
        <v>10000</v>
      </c>
      <c r="D43" t="s">
        <v>17</v>
      </c>
      <c r="E43" t="s">
        <v>30</v>
      </c>
      <c r="G43" s="34" t="s">
        <v>88</v>
      </c>
      <c r="H43">
        <v>53000</v>
      </c>
      <c r="I43">
        <v>-25000</v>
      </c>
    </row>
    <row r="44" spans="1:25" ht="30.75">
      <c r="A44" s="27">
        <v>44709</v>
      </c>
      <c r="B44" s="32" t="s">
        <v>89</v>
      </c>
      <c r="C44" s="22">
        <v>8000</v>
      </c>
      <c r="D44" t="s">
        <v>17</v>
      </c>
      <c r="E44" t="s">
        <v>30</v>
      </c>
      <c r="G44" s="34" t="s">
        <v>90</v>
      </c>
    </row>
    <row r="45" spans="1:25" ht="30.75">
      <c r="A45" s="27">
        <v>44709</v>
      </c>
      <c r="B45" s="32" t="s">
        <v>91</v>
      </c>
      <c r="C45" s="22">
        <v>1900</v>
      </c>
      <c r="D45" s="2" t="s">
        <v>17</v>
      </c>
      <c r="E45" t="s">
        <v>32</v>
      </c>
      <c r="G45" s="34" t="s">
        <v>92</v>
      </c>
      <c r="I45">
        <v>-48850</v>
      </c>
    </row>
    <row r="46" spans="1:25">
      <c r="A46" s="27">
        <v>44709</v>
      </c>
      <c r="B46" s="32" t="s">
        <v>45</v>
      </c>
      <c r="C46" s="22">
        <v>500</v>
      </c>
      <c r="D46" t="s">
        <v>17</v>
      </c>
      <c r="E46" t="s">
        <v>26</v>
      </c>
      <c r="G46" s="34" t="s">
        <v>93</v>
      </c>
    </row>
    <row r="47" spans="1:25">
      <c r="A47" s="27">
        <v>44709</v>
      </c>
      <c r="B47" s="32" t="s">
        <v>94</v>
      </c>
      <c r="C47" s="22">
        <v>260</v>
      </c>
      <c r="D47" t="s">
        <v>17</v>
      </c>
      <c r="E47" t="s">
        <v>32</v>
      </c>
      <c r="G47" s="34" t="s">
        <v>95</v>
      </c>
      <c r="I47">
        <v>-15000</v>
      </c>
    </row>
    <row r="48" spans="1:25">
      <c r="A48" s="27">
        <v>44713</v>
      </c>
      <c r="B48" s="32" t="s">
        <v>85</v>
      </c>
      <c r="C48" s="22">
        <v>20000</v>
      </c>
      <c r="D48" t="s">
        <v>22</v>
      </c>
      <c r="E48" t="s">
        <v>30</v>
      </c>
      <c r="G48" s="34" t="s">
        <v>96</v>
      </c>
      <c r="I48">
        <v>-21150</v>
      </c>
    </row>
    <row r="49" spans="1:9">
      <c r="A49" s="27">
        <v>44714</v>
      </c>
      <c r="B49" s="32" t="s">
        <v>97</v>
      </c>
      <c r="C49" s="22">
        <v>9500</v>
      </c>
      <c r="D49" t="s">
        <v>22</v>
      </c>
      <c r="E49" t="s">
        <v>42</v>
      </c>
      <c r="G49" s="34"/>
    </row>
    <row r="50" spans="1:9">
      <c r="A50" s="27">
        <v>44723</v>
      </c>
      <c r="B50" s="32" t="s">
        <v>98</v>
      </c>
      <c r="C50" s="22">
        <v>170000</v>
      </c>
      <c r="D50" t="s">
        <v>17</v>
      </c>
      <c r="E50" t="s">
        <v>18</v>
      </c>
      <c r="G50" s="34" t="s">
        <v>99</v>
      </c>
      <c r="H50">
        <v>20000</v>
      </c>
      <c r="I50">
        <v>-1000</v>
      </c>
    </row>
    <row r="51" spans="1:9" ht="30.75">
      <c r="A51" s="27">
        <v>44723</v>
      </c>
      <c r="B51" s="32" t="s">
        <v>100</v>
      </c>
      <c r="C51" s="22">
        <v>8000</v>
      </c>
      <c r="D51" t="s">
        <v>22</v>
      </c>
      <c r="E51" t="s">
        <v>18</v>
      </c>
      <c r="G51" s="34" t="s">
        <v>101</v>
      </c>
    </row>
    <row r="52" spans="1:9">
      <c r="A52" s="27">
        <v>44724</v>
      </c>
      <c r="B52" s="32" t="s">
        <v>102</v>
      </c>
      <c r="C52" s="22">
        <v>20000</v>
      </c>
      <c r="D52" t="s">
        <v>22</v>
      </c>
      <c r="E52" t="s">
        <v>30</v>
      </c>
      <c r="G52" s="34"/>
    </row>
    <row r="53" spans="1:9">
      <c r="A53" s="27">
        <v>44729</v>
      </c>
      <c r="B53" s="32" t="s">
        <v>103</v>
      </c>
      <c r="C53" s="22">
        <v>10000</v>
      </c>
      <c r="D53" t="s">
        <v>22</v>
      </c>
      <c r="E53" t="s">
        <v>30</v>
      </c>
      <c r="G53" s="34"/>
    </row>
    <row r="54" spans="1:9">
      <c r="A54" s="27">
        <v>44735</v>
      </c>
      <c r="B54" s="32" t="s">
        <v>104</v>
      </c>
      <c r="C54" s="22">
        <v>4300</v>
      </c>
      <c r="D54" t="s">
        <v>22</v>
      </c>
      <c r="E54" t="s">
        <v>42</v>
      </c>
      <c r="G54" s="34" t="s">
        <v>105</v>
      </c>
    </row>
    <row r="55" spans="1:9">
      <c r="A55" s="27">
        <v>44736</v>
      </c>
      <c r="B55" s="32" t="s">
        <v>106</v>
      </c>
      <c r="C55" s="22">
        <v>5000</v>
      </c>
      <c r="D55" t="s">
        <v>22</v>
      </c>
      <c r="E55" t="s">
        <v>30</v>
      </c>
      <c r="G55" s="34" t="s">
        <v>107</v>
      </c>
    </row>
    <row r="56" spans="1:9">
      <c r="A56" s="27">
        <v>44736</v>
      </c>
      <c r="B56" s="32" t="s">
        <v>108</v>
      </c>
      <c r="C56" s="22">
        <v>3500</v>
      </c>
      <c r="D56" t="s">
        <v>22</v>
      </c>
      <c r="E56" t="s">
        <v>30</v>
      </c>
      <c r="G56" s="34" t="s">
        <v>109</v>
      </c>
    </row>
    <row r="57" spans="1:9">
      <c r="A57" s="27">
        <v>44737</v>
      </c>
      <c r="B57" s="32" t="s">
        <v>110</v>
      </c>
      <c r="C57" s="22">
        <v>180000</v>
      </c>
      <c r="D57" t="s">
        <v>22</v>
      </c>
      <c r="E57" t="s">
        <v>18</v>
      </c>
      <c r="G57" s="34"/>
    </row>
    <row r="58" spans="1:9">
      <c r="A58" s="27">
        <v>44737</v>
      </c>
      <c r="B58" s="32" t="s">
        <v>110</v>
      </c>
      <c r="C58" s="22">
        <v>20000</v>
      </c>
      <c r="D58" t="s">
        <v>17</v>
      </c>
      <c r="E58" t="s">
        <v>18</v>
      </c>
      <c r="G58" s="34"/>
    </row>
    <row r="59" spans="1:9">
      <c r="A59" s="27">
        <v>44737</v>
      </c>
      <c r="B59" s="32" t="s">
        <v>111</v>
      </c>
      <c r="C59" s="22">
        <v>6500</v>
      </c>
      <c r="D59" t="s">
        <v>17</v>
      </c>
      <c r="E59" t="s">
        <v>46</v>
      </c>
      <c r="G59" s="34"/>
    </row>
    <row r="60" spans="1:9">
      <c r="A60" s="27">
        <v>44737</v>
      </c>
      <c r="B60" s="32" t="s">
        <v>112</v>
      </c>
      <c r="C60" s="22">
        <f>1000+750+285+300+250+500</f>
        <v>3085</v>
      </c>
      <c r="D60" t="s">
        <v>17</v>
      </c>
      <c r="E60" t="s">
        <v>53</v>
      </c>
      <c r="G60" s="34" t="s">
        <v>113</v>
      </c>
      <c r="H60">
        <v>6500</v>
      </c>
    </row>
    <row r="61" spans="1:9" ht="30.75">
      <c r="A61" s="27">
        <v>44737</v>
      </c>
      <c r="B61" s="32" t="s">
        <v>114</v>
      </c>
      <c r="C61" s="22">
        <v>1500</v>
      </c>
      <c r="D61" t="s">
        <v>17</v>
      </c>
      <c r="E61" t="s">
        <v>41</v>
      </c>
      <c r="G61" s="34" t="s">
        <v>115</v>
      </c>
      <c r="I61">
        <v>-6500</v>
      </c>
    </row>
    <row r="62" spans="1:9">
      <c r="A62" s="27">
        <v>44737</v>
      </c>
      <c r="B62" s="32" t="s">
        <v>116</v>
      </c>
      <c r="C62" s="22">
        <v>1300</v>
      </c>
      <c r="D62" t="s">
        <v>22</v>
      </c>
      <c r="E62" t="s">
        <v>38</v>
      </c>
      <c r="G62" s="34" t="s">
        <v>117</v>
      </c>
    </row>
    <row r="63" spans="1:9">
      <c r="A63" s="27">
        <v>44737</v>
      </c>
      <c r="B63" s="32" t="s">
        <v>118</v>
      </c>
      <c r="C63" s="22">
        <v>1000</v>
      </c>
      <c r="D63" t="s">
        <v>22</v>
      </c>
      <c r="E63" t="s">
        <v>41</v>
      </c>
      <c r="G63" s="34"/>
    </row>
    <row r="64" spans="1:9">
      <c r="A64" s="27">
        <v>44737</v>
      </c>
      <c r="B64" s="32" t="s">
        <v>119</v>
      </c>
      <c r="C64" s="22">
        <v>900</v>
      </c>
      <c r="D64" t="s">
        <v>17</v>
      </c>
      <c r="E64" t="s">
        <v>26</v>
      </c>
      <c r="G64" s="34"/>
    </row>
    <row r="65" spans="1:9">
      <c r="A65" s="27">
        <v>44737</v>
      </c>
      <c r="B65" s="32" t="s">
        <v>120</v>
      </c>
      <c r="C65" s="22">
        <v>650</v>
      </c>
      <c r="D65" t="s">
        <v>22</v>
      </c>
      <c r="E65" t="s">
        <v>26</v>
      </c>
      <c r="G65" s="34"/>
    </row>
    <row r="66" spans="1:9">
      <c r="A66" s="27">
        <v>44737</v>
      </c>
      <c r="B66" s="32" t="s">
        <v>121</v>
      </c>
      <c r="C66" s="22">
        <v>500</v>
      </c>
      <c r="D66" t="s">
        <v>17</v>
      </c>
      <c r="E66" t="s">
        <v>38</v>
      </c>
      <c r="G66" s="34" t="s">
        <v>122</v>
      </c>
      <c r="H66">
        <v>13000</v>
      </c>
    </row>
    <row r="67" spans="1:9">
      <c r="A67" s="27">
        <v>44738</v>
      </c>
      <c r="B67" s="32" t="s">
        <v>123</v>
      </c>
      <c r="C67" s="22">
        <v>13000</v>
      </c>
      <c r="D67" t="s">
        <v>17</v>
      </c>
      <c r="E67" t="s">
        <v>2</v>
      </c>
      <c r="G67" s="34" t="s">
        <v>124</v>
      </c>
      <c r="I67">
        <f>SUM(H42:I66)</f>
        <v>0</v>
      </c>
    </row>
    <row r="68" spans="1:9">
      <c r="A68" s="27">
        <v>44738</v>
      </c>
      <c r="B68" s="32" t="s">
        <v>125</v>
      </c>
      <c r="C68" s="22">
        <v>9500</v>
      </c>
      <c r="D68" t="s">
        <v>17</v>
      </c>
      <c r="E68" t="s">
        <v>27</v>
      </c>
      <c r="G68" s="34"/>
    </row>
    <row r="69" spans="1:9">
      <c r="A69" s="27">
        <v>44738</v>
      </c>
      <c r="B69" s="32" t="s">
        <v>126</v>
      </c>
      <c r="C69" s="22">
        <v>950</v>
      </c>
      <c r="D69" t="s">
        <v>22</v>
      </c>
      <c r="E69" t="s">
        <v>36</v>
      </c>
      <c r="G69" s="34"/>
    </row>
    <row r="70" spans="1:9">
      <c r="A70" s="27">
        <v>44738</v>
      </c>
      <c r="B70" s="32" t="s">
        <v>127</v>
      </c>
      <c r="C70" s="22">
        <v>750</v>
      </c>
      <c r="D70" t="s">
        <v>22</v>
      </c>
      <c r="E70" t="s">
        <v>26</v>
      </c>
      <c r="G70" s="34"/>
    </row>
    <row r="71" spans="1:9">
      <c r="A71" s="27">
        <v>44738</v>
      </c>
      <c r="B71" s="32" t="s">
        <v>128</v>
      </c>
      <c r="C71" s="22">
        <v>500</v>
      </c>
      <c r="D71" t="s">
        <v>17</v>
      </c>
      <c r="E71" t="s">
        <v>26</v>
      </c>
      <c r="G71" s="34"/>
    </row>
    <row r="72" spans="1:9">
      <c r="A72" s="27">
        <v>44738</v>
      </c>
      <c r="B72" s="32" t="s">
        <v>129</v>
      </c>
      <c r="C72" s="22">
        <v>350</v>
      </c>
      <c r="D72" t="s">
        <v>17</v>
      </c>
      <c r="E72" t="s">
        <v>44</v>
      </c>
      <c r="G72" s="34"/>
    </row>
    <row r="73" spans="1:9">
      <c r="A73" s="27">
        <v>44740</v>
      </c>
      <c r="B73" s="32" t="s">
        <v>130</v>
      </c>
      <c r="C73" s="22">
        <v>15000</v>
      </c>
      <c r="D73" t="s">
        <v>17</v>
      </c>
      <c r="E73" t="s">
        <v>41</v>
      </c>
      <c r="G73" s="34"/>
    </row>
    <row r="74" spans="1:9" ht="30.75">
      <c r="A74" s="27">
        <v>44743</v>
      </c>
      <c r="B74" s="32" t="s">
        <v>131</v>
      </c>
      <c r="C74" s="22">
        <v>1900</v>
      </c>
      <c r="D74" t="s">
        <v>22</v>
      </c>
      <c r="E74" t="s">
        <v>32</v>
      </c>
      <c r="G74" s="34"/>
    </row>
    <row r="75" spans="1:9">
      <c r="A75" s="27">
        <v>44743</v>
      </c>
      <c r="B75" s="32" t="s">
        <v>132</v>
      </c>
      <c r="C75" s="22">
        <v>700</v>
      </c>
      <c r="D75" t="s">
        <v>22</v>
      </c>
      <c r="E75" t="s">
        <v>41</v>
      </c>
      <c r="G75" s="34"/>
    </row>
    <row r="76" spans="1:9" ht="45.75">
      <c r="A76" s="27">
        <v>44744</v>
      </c>
      <c r="B76" s="32" t="s">
        <v>133</v>
      </c>
      <c r="C76" s="22">
        <v>1900</v>
      </c>
      <c r="D76" s="2" t="s">
        <v>17</v>
      </c>
      <c r="E76" t="s">
        <v>32</v>
      </c>
      <c r="G76" s="34"/>
    </row>
    <row r="77" spans="1:9">
      <c r="A77" s="27">
        <v>44744</v>
      </c>
      <c r="B77" s="32" t="s">
        <v>134</v>
      </c>
      <c r="C77" s="22">
        <v>800</v>
      </c>
      <c r="D77" t="s">
        <v>17</v>
      </c>
      <c r="E77" t="s">
        <v>48</v>
      </c>
      <c r="G77" s="34"/>
    </row>
    <row r="78" spans="1:9">
      <c r="A78" s="27">
        <v>44745</v>
      </c>
      <c r="B78" s="32" t="s">
        <v>135</v>
      </c>
      <c r="C78" s="22">
        <v>6000</v>
      </c>
      <c r="D78" t="s">
        <v>17</v>
      </c>
      <c r="E78" t="s">
        <v>40</v>
      </c>
      <c r="G78" s="34"/>
    </row>
    <row r="79" spans="1:9">
      <c r="A79" s="27">
        <v>44745</v>
      </c>
      <c r="B79" s="32" t="s">
        <v>128</v>
      </c>
      <c r="C79" s="22">
        <v>800</v>
      </c>
      <c r="D79" t="s">
        <v>17</v>
      </c>
      <c r="E79" t="s">
        <v>36</v>
      </c>
      <c r="G79" s="34"/>
    </row>
    <row r="80" spans="1:9">
      <c r="A80" s="27">
        <v>44745</v>
      </c>
      <c r="B80" s="32" t="s">
        <v>136</v>
      </c>
      <c r="C80" s="22">
        <v>500</v>
      </c>
      <c r="D80" t="s">
        <v>17</v>
      </c>
      <c r="E80" t="s">
        <v>40</v>
      </c>
      <c r="G80" s="34"/>
    </row>
    <row r="81" spans="1:7">
      <c r="A81" s="27">
        <v>44746</v>
      </c>
      <c r="B81" s="32" t="s">
        <v>137</v>
      </c>
      <c r="C81" s="22">
        <v>12200</v>
      </c>
      <c r="D81" t="s">
        <v>17</v>
      </c>
      <c r="E81" t="s">
        <v>33</v>
      </c>
      <c r="G81" s="34"/>
    </row>
    <row r="82" spans="1:7">
      <c r="A82" s="27">
        <v>44746</v>
      </c>
      <c r="B82" s="32" t="s">
        <v>138</v>
      </c>
      <c r="C82" s="22">
        <v>1750</v>
      </c>
      <c r="D82" t="s">
        <v>17</v>
      </c>
      <c r="E82" t="s">
        <v>48</v>
      </c>
      <c r="G82" s="34"/>
    </row>
    <row r="83" spans="1:7">
      <c r="A83" s="27">
        <v>44748</v>
      </c>
      <c r="B83" s="32" t="s">
        <v>139</v>
      </c>
      <c r="C83" s="22">
        <v>4000</v>
      </c>
      <c r="D83" t="s">
        <v>22</v>
      </c>
      <c r="E83" t="s">
        <v>32</v>
      </c>
      <c r="G83" s="34"/>
    </row>
    <row r="84" spans="1:7">
      <c r="A84" s="27">
        <v>44748</v>
      </c>
      <c r="B84" s="32" t="s">
        <v>140</v>
      </c>
      <c r="C84" s="22">
        <v>3000</v>
      </c>
      <c r="D84" t="s">
        <v>22</v>
      </c>
      <c r="E84" t="s">
        <v>48</v>
      </c>
      <c r="G84" s="34"/>
    </row>
    <row r="85" spans="1:7">
      <c r="A85" s="27">
        <v>44748</v>
      </c>
      <c r="B85" s="32" t="s">
        <v>141</v>
      </c>
      <c r="C85" s="22">
        <v>450</v>
      </c>
      <c r="D85" t="s">
        <v>22</v>
      </c>
      <c r="E85" t="s">
        <v>48</v>
      </c>
      <c r="G85" s="34"/>
    </row>
    <row r="86" spans="1:7">
      <c r="A86" s="27">
        <v>44751</v>
      </c>
      <c r="B86" s="32" t="s">
        <v>142</v>
      </c>
      <c r="C86" s="22">
        <v>14000</v>
      </c>
      <c r="D86" t="s">
        <v>17</v>
      </c>
      <c r="E86" t="s">
        <v>33</v>
      </c>
      <c r="G86" s="34"/>
    </row>
    <row r="87" spans="1:7">
      <c r="A87" s="27">
        <v>44751</v>
      </c>
      <c r="B87" s="32" t="s">
        <v>143</v>
      </c>
      <c r="C87" s="22">
        <v>11000</v>
      </c>
      <c r="D87" t="s">
        <v>22</v>
      </c>
      <c r="E87" t="s">
        <v>51</v>
      </c>
      <c r="G87" s="34"/>
    </row>
    <row r="88" spans="1:7">
      <c r="A88" s="27">
        <v>44751</v>
      </c>
      <c r="B88" s="32" t="s">
        <v>144</v>
      </c>
      <c r="C88" s="22">
        <v>10000</v>
      </c>
      <c r="D88" t="s">
        <v>17</v>
      </c>
      <c r="E88" t="s">
        <v>51</v>
      </c>
      <c r="G88" s="34"/>
    </row>
    <row r="89" spans="1:7">
      <c r="A89" s="27">
        <v>44751</v>
      </c>
      <c r="B89" s="32" t="s">
        <v>145</v>
      </c>
      <c r="C89" s="22">
        <v>7400</v>
      </c>
      <c r="D89" t="s">
        <v>22</v>
      </c>
      <c r="E89" t="s">
        <v>33</v>
      </c>
      <c r="G89" s="34"/>
    </row>
    <row r="90" spans="1:7">
      <c r="A90" s="27">
        <v>44751</v>
      </c>
      <c r="B90" s="32" t="s">
        <v>146</v>
      </c>
      <c r="C90" s="22">
        <v>3500</v>
      </c>
      <c r="D90" t="s">
        <v>17</v>
      </c>
      <c r="E90" t="s">
        <v>40</v>
      </c>
      <c r="G90" s="34"/>
    </row>
    <row r="91" spans="1:7">
      <c r="A91" s="27">
        <v>44751</v>
      </c>
      <c r="B91" s="32" t="s">
        <v>134</v>
      </c>
      <c r="C91" s="22">
        <v>3000</v>
      </c>
      <c r="D91" t="s">
        <v>22</v>
      </c>
      <c r="E91" t="s">
        <v>48</v>
      </c>
      <c r="G91" s="34"/>
    </row>
    <row r="92" spans="1:7">
      <c r="A92" s="27">
        <v>44751</v>
      </c>
      <c r="B92" s="32" t="s">
        <v>147</v>
      </c>
      <c r="C92" s="22">
        <v>1750</v>
      </c>
      <c r="D92" t="s">
        <v>17</v>
      </c>
      <c r="E92" t="s">
        <v>32</v>
      </c>
      <c r="G92" s="34"/>
    </row>
    <row r="93" spans="1:7">
      <c r="A93" s="27">
        <v>44751</v>
      </c>
      <c r="B93" s="32" t="s">
        <v>148</v>
      </c>
      <c r="C93" s="22">
        <v>950</v>
      </c>
      <c r="D93" t="s">
        <v>22</v>
      </c>
      <c r="E93" t="s">
        <v>36</v>
      </c>
      <c r="G93" s="34"/>
    </row>
    <row r="94" spans="1:7">
      <c r="A94" s="27">
        <v>44751</v>
      </c>
      <c r="B94" s="32" t="s">
        <v>149</v>
      </c>
      <c r="C94" s="22">
        <v>800</v>
      </c>
      <c r="D94" t="s">
        <v>22</v>
      </c>
      <c r="E94" t="s">
        <v>33</v>
      </c>
      <c r="G94" s="34"/>
    </row>
    <row r="95" spans="1:7">
      <c r="A95" s="27">
        <v>44751</v>
      </c>
      <c r="B95" s="32" t="s">
        <v>150</v>
      </c>
      <c r="C95" s="22">
        <v>680</v>
      </c>
      <c r="D95" t="s">
        <v>17</v>
      </c>
      <c r="E95" t="s">
        <v>55</v>
      </c>
      <c r="G95" s="34"/>
    </row>
    <row r="96" spans="1:7">
      <c r="A96" s="27">
        <v>44752</v>
      </c>
      <c r="B96" s="32" t="s">
        <v>151</v>
      </c>
      <c r="C96" s="22">
        <v>900</v>
      </c>
      <c r="D96" t="s">
        <v>22</v>
      </c>
      <c r="E96" t="s">
        <v>21</v>
      </c>
      <c r="G96" s="34"/>
    </row>
    <row r="97" spans="1:7">
      <c r="A97" s="27">
        <v>44755</v>
      </c>
      <c r="B97" s="32" t="s">
        <v>152</v>
      </c>
      <c r="C97" s="22">
        <v>1100</v>
      </c>
      <c r="D97" t="s">
        <v>22</v>
      </c>
      <c r="E97" t="s">
        <v>33</v>
      </c>
      <c r="G97" s="34"/>
    </row>
    <row r="98" spans="1:7">
      <c r="A98" s="27">
        <v>44755</v>
      </c>
      <c r="B98" s="32" t="s">
        <v>153</v>
      </c>
      <c r="C98" s="22">
        <v>1000</v>
      </c>
      <c r="D98" t="s">
        <v>22</v>
      </c>
      <c r="E98" t="s">
        <v>32</v>
      </c>
      <c r="G98" s="34"/>
    </row>
    <row r="99" spans="1:7">
      <c r="A99" s="27">
        <v>44757</v>
      </c>
      <c r="B99" s="32" t="s">
        <v>154</v>
      </c>
      <c r="C99" s="22">
        <v>1900</v>
      </c>
      <c r="D99" t="s">
        <v>22</v>
      </c>
      <c r="E99" t="s">
        <v>32</v>
      </c>
      <c r="G99" s="34"/>
    </row>
    <row r="100" spans="1:7">
      <c r="A100" s="27">
        <v>44757</v>
      </c>
      <c r="B100" s="32" t="s">
        <v>155</v>
      </c>
      <c r="C100" s="22">
        <v>1000</v>
      </c>
      <c r="D100" t="s">
        <v>22</v>
      </c>
      <c r="E100" t="s">
        <v>40</v>
      </c>
      <c r="G100" s="34"/>
    </row>
    <row r="101" spans="1:7">
      <c r="A101" s="38">
        <v>44758</v>
      </c>
      <c r="B101" s="32" t="s">
        <v>156</v>
      </c>
      <c r="C101" s="22">
        <v>5000</v>
      </c>
      <c r="D101" t="s">
        <v>17</v>
      </c>
      <c r="E101" t="s">
        <v>48</v>
      </c>
      <c r="G101" s="34"/>
    </row>
    <row r="102" spans="1:7">
      <c r="A102" s="38">
        <v>44758</v>
      </c>
      <c r="B102" s="32" t="s">
        <v>157</v>
      </c>
      <c r="C102" s="22">
        <v>2500</v>
      </c>
      <c r="D102" t="s">
        <v>17</v>
      </c>
      <c r="E102" t="s">
        <v>53</v>
      </c>
      <c r="G102" s="34"/>
    </row>
    <row r="103" spans="1:7">
      <c r="A103" s="38">
        <v>44758</v>
      </c>
      <c r="B103" s="32" t="s">
        <v>158</v>
      </c>
      <c r="C103" s="22">
        <v>2500</v>
      </c>
      <c r="D103" t="s">
        <v>17</v>
      </c>
      <c r="E103" t="s">
        <v>61</v>
      </c>
      <c r="G103" s="34"/>
    </row>
    <row r="104" spans="1:7">
      <c r="A104" s="38">
        <v>44758</v>
      </c>
      <c r="B104" s="32" t="s">
        <v>159</v>
      </c>
      <c r="C104" s="22">
        <v>2000</v>
      </c>
      <c r="D104" t="s">
        <v>17</v>
      </c>
      <c r="E104" t="s">
        <v>59</v>
      </c>
      <c r="G104" s="34"/>
    </row>
    <row r="105" spans="1:7">
      <c r="A105" s="38">
        <v>44758</v>
      </c>
      <c r="B105" s="32" t="s">
        <v>160</v>
      </c>
      <c r="C105" s="22">
        <v>1750</v>
      </c>
      <c r="D105" t="s">
        <v>17</v>
      </c>
      <c r="E105" t="s">
        <v>32</v>
      </c>
    </row>
    <row r="106" spans="1:7">
      <c r="A106" s="38">
        <v>44758</v>
      </c>
      <c r="B106" s="32" t="s">
        <v>161</v>
      </c>
      <c r="C106" s="22">
        <v>300</v>
      </c>
      <c r="D106" t="s">
        <v>17</v>
      </c>
      <c r="E106" t="s">
        <v>57</v>
      </c>
    </row>
    <row r="107" spans="1:7">
      <c r="A107" s="38">
        <v>44758</v>
      </c>
      <c r="B107" s="32" t="s">
        <v>24</v>
      </c>
      <c r="C107" s="22">
        <v>250</v>
      </c>
      <c r="D107" t="s">
        <v>17</v>
      </c>
      <c r="E107" t="s">
        <v>36</v>
      </c>
    </row>
    <row r="108" spans="1:7">
      <c r="A108" s="38">
        <v>44764</v>
      </c>
      <c r="B108" s="32" t="s">
        <v>162</v>
      </c>
      <c r="C108" s="22">
        <v>2200</v>
      </c>
      <c r="D108" t="s">
        <v>17</v>
      </c>
      <c r="E108" t="s">
        <v>53</v>
      </c>
    </row>
    <row r="109" spans="1:7">
      <c r="A109" s="38">
        <v>44764</v>
      </c>
      <c r="B109" s="32" t="s">
        <v>163</v>
      </c>
      <c r="C109" s="22">
        <v>1000</v>
      </c>
      <c r="D109" t="s">
        <v>17</v>
      </c>
      <c r="E109" t="s">
        <v>40</v>
      </c>
    </row>
    <row r="110" spans="1:7">
      <c r="A110" s="38">
        <v>44764</v>
      </c>
      <c r="B110" s="32" t="s">
        <v>164</v>
      </c>
      <c r="C110" s="22">
        <v>1000</v>
      </c>
      <c r="D110" t="s">
        <v>17</v>
      </c>
      <c r="E110" t="s">
        <v>62</v>
      </c>
    </row>
    <row r="111" spans="1:7">
      <c r="A111" s="38">
        <v>44764</v>
      </c>
      <c r="B111" s="32" t="s">
        <v>165</v>
      </c>
      <c r="C111" s="22">
        <v>500</v>
      </c>
      <c r="D111" t="s">
        <v>17</v>
      </c>
      <c r="E111" t="s">
        <v>36</v>
      </c>
    </row>
    <row r="112" spans="1:7">
      <c r="A112" s="38">
        <v>44764</v>
      </c>
      <c r="B112" s="32" t="s">
        <v>166</v>
      </c>
      <c r="C112" s="22">
        <v>500</v>
      </c>
      <c r="D112" t="s">
        <v>17</v>
      </c>
      <c r="E112" t="s">
        <v>44</v>
      </c>
    </row>
    <row r="113" spans="1:5">
      <c r="A113" s="38">
        <v>44765</v>
      </c>
      <c r="B113" s="32" t="s">
        <v>167</v>
      </c>
      <c r="C113" s="22">
        <v>1000</v>
      </c>
      <c r="D113" t="s">
        <v>17</v>
      </c>
      <c r="E113" t="s">
        <v>64</v>
      </c>
    </row>
    <row r="114" spans="1:5">
      <c r="A114" s="38">
        <v>44765</v>
      </c>
      <c r="B114" s="32" t="s">
        <v>128</v>
      </c>
      <c r="C114" s="22">
        <v>150</v>
      </c>
      <c r="D114" t="s">
        <v>17</v>
      </c>
      <c r="E114" t="s">
        <v>36</v>
      </c>
    </row>
    <row r="115" spans="1:5">
      <c r="A115" s="38">
        <v>44766</v>
      </c>
      <c r="B115" s="32" t="s">
        <v>168</v>
      </c>
      <c r="C115" s="22">
        <v>6000</v>
      </c>
      <c r="D115" t="s">
        <v>22</v>
      </c>
      <c r="E115" t="s">
        <v>40</v>
      </c>
    </row>
    <row r="116" spans="1:5">
      <c r="A116" s="38">
        <v>44784</v>
      </c>
      <c r="B116" s="32" t="s">
        <v>169</v>
      </c>
      <c r="C116" s="22">
        <v>36000</v>
      </c>
      <c r="D116" t="s">
        <v>17</v>
      </c>
      <c r="E116" t="s">
        <v>62</v>
      </c>
    </row>
    <row r="117" spans="1:5">
      <c r="A117" s="38">
        <v>44784</v>
      </c>
      <c r="B117" s="32" t="s">
        <v>170</v>
      </c>
      <c r="C117" s="22">
        <v>5000</v>
      </c>
      <c r="D117" t="s">
        <v>17</v>
      </c>
      <c r="E117" t="s">
        <v>68</v>
      </c>
    </row>
    <row r="118" spans="1:5">
      <c r="A118" s="38">
        <v>44784</v>
      </c>
      <c r="B118" s="32" t="s">
        <v>171</v>
      </c>
      <c r="C118" s="22">
        <v>4000</v>
      </c>
      <c r="D118" t="s">
        <v>17</v>
      </c>
      <c r="E118" t="s">
        <v>62</v>
      </c>
    </row>
    <row r="119" spans="1:5">
      <c r="A119" s="38">
        <v>44784</v>
      </c>
      <c r="B119" s="32" t="s">
        <v>172</v>
      </c>
      <c r="C119" s="22">
        <v>4000</v>
      </c>
      <c r="D119" t="s">
        <v>17</v>
      </c>
      <c r="E119" t="s">
        <v>62</v>
      </c>
    </row>
    <row r="120" spans="1:5">
      <c r="A120" s="38">
        <v>44784</v>
      </c>
      <c r="B120" s="32" t="s">
        <v>173</v>
      </c>
      <c r="C120" s="22">
        <v>3250</v>
      </c>
      <c r="D120" t="s">
        <v>17</v>
      </c>
      <c r="E120" t="s">
        <v>66</v>
      </c>
    </row>
    <row r="121" spans="1:5">
      <c r="A121" s="38">
        <v>44784</v>
      </c>
      <c r="B121" s="32" t="s">
        <v>174</v>
      </c>
      <c r="C121" s="22">
        <v>2200</v>
      </c>
      <c r="D121" t="s">
        <v>17</v>
      </c>
      <c r="E121" t="s">
        <v>53</v>
      </c>
    </row>
    <row r="122" spans="1:5">
      <c r="A122" s="38">
        <v>44784</v>
      </c>
      <c r="B122" s="32" t="s">
        <v>175</v>
      </c>
      <c r="C122" s="22">
        <v>750</v>
      </c>
      <c r="D122" t="s">
        <v>17</v>
      </c>
      <c r="E122" t="s">
        <v>70</v>
      </c>
    </row>
    <row r="123" spans="1:5">
      <c r="A123" s="38">
        <v>44784</v>
      </c>
      <c r="B123" s="32" t="s">
        <v>128</v>
      </c>
      <c r="C123" s="22">
        <v>200</v>
      </c>
      <c r="D123" t="s">
        <v>17</v>
      </c>
      <c r="E123" t="s">
        <v>36</v>
      </c>
    </row>
    <row r="124" spans="1:5">
      <c r="A124" s="38">
        <v>44785</v>
      </c>
      <c r="B124" s="32" t="s">
        <v>176</v>
      </c>
      <c r="C124" s="22">
        <v>250</v>
      </c>
      <c r="D124" t="s">
        <v>17</v>
      </c>
      <c r="E124" t="s">
        <v>62</v>
      </c>
    </row>
    <row r="125" spans="1:5">
      <c r="A125" s="38">
        <v>44785</v>
      </c>
      <c r="B125" s="32" t="s">
        <v>177</v>
      </c>
      <c r="C125" s="22">
        <v>200</v>
      </c>
      <c r="D125" t="s">
        <v>17</v>
      </c>
      <c r="E125" t="s">
        <v>62</v>
      </c>
    </row>
    <row r="126" spans="1:5">
      <c r="A126" s="27">
        <v>44786</v>
      </c>
      <c r="B126" s="32" t="s">
        <v>178</v>
      </c>
      <c r="C126" s="22">
        <v>35000</v>
      </c>
      <c r="D126" t="s">
        <v>22</v>
      </c>
      <c r="E126" t="s">
        <v>62</v>
      </c>
    </row>
    <row r="127" spans="1:5">
      <c r="A127" s="27">
        <v>44788</v>
      </c>
      <c r="B127" s="32" t="s">
        <v>179</v>
      </c>
      <c r="C127" s="22">
        <v>13500</v>
      </c>
      <c r="D127" t="s">
        <v>17</v>
      </c>
      <c r="E127" t="s">
        <v>62</v>
      </c>
    </row>
    <row r="128" spans="1:5">
      <c r="A128" s="27">
        <v>44788</v>
      </c>
      <c r="B128" s="32" t="s">
        <v>156</v>
      </c>
      <c r="C128" s="22">
        <v>5000</v>
      </c>
      <c r="D128" t="s">
        <v>22</v>
      </c>
      <c r="E128" t="s">
        <v>48</v>
      </c>
    </row>
    <row r="129" spans="1:5">
      <c r="A129" s="27">
        <v>44788</v>
      </c>
      <c r="B129" s="32" t="s">
        <v>180</v>
      </c>
      <c r="C129" s="22">
        <v>2000</v>
      </c>
      <c r="D129" t="s">
        <v>22</v>
      </c>
      <c r="E129" t="s">
        <v>32</v>
      </c>
    </row>
    <row r="130" spans="1:5">
      <c r="A130" s="27">
        <v>44788</v>
      </c>
      <c r="B130" s="32" t="s">
        <v>155</v>
      </c>
      <c r="C130" s="22">
        <v>1000</v>
      </c>
      <c r="D130" t="s">
        <v>22</v>
      </c>
      <c r="E130" t="s">
        <v>40</v>
      </c>
    </row>
    <row r="131" spans="1:5">
      <c r="A131" s="27">
        <v>44789</v>
      </c>
      <c r="B131" s="32" t="s">
        <v>171</v>
      </c>
      <c r="C131" s="22">
        <v>5000</v>
      </c>
      <c r="D131" t="s">
        <v>17</v>
      </c>
      <c r="E131" t="s">
        <v>62</v>
      </c>
    </row>
    <row r="132" spans="1:5">
      <c r="A132" s="27">
        <v>44790</v>
      </c>
      <c r="B132" s="32" t="s">
        <v>169</v>
      </c>
      <c r="C132" s="22">
        <v>80000</v>
      </c>
      <c r="D132" t="s">
        <v>17</v>
      </c>
      <c r="E132" t="s">
        <v>62</v>
      </c>
    </row>
    <row r="133" spans="1:5">
      <c r="A133" s="27">
        <v>44790</v>
      </c>
      <c r="B133" s="32" t="s">
        <v>169</v>
      </c>
      <c r="C133" s="22">
        <v>50000</v>
      </c>
      <c r="D133" t="s">
        <v>22</v>
      </c>
      <c r="E133" t="s">
        <v>62</v>
      </c>
    </row>
    <row r="134" spans="1:5">
      <c r="A134" s="27">
        <v>44797</v>
      </c>
      <c r="B134" s="32" t="s">
        <v>181</v>
      </c>
      <c r="C134" s="22">
        <v>10000</v>
      </c>
      <c r="D134" t="s">
        <v>22</v>
      </c>
      <c r="E134" t="s">
        <v>40</v>
      </c>
    </row>
    <row r="135" spans="1:5">
      <c r="A135" s="27">
        <v>44800</v>
      </c>
      <c r="B135" s="32" t="s">
        <v>182</v>
      </c>
      <c r="C135" s="22">
        <v>1000</v>
      </c>
      <c r="D135" t="s">
        <v>17</v>
      </c>
      <c r="E135" t="s">
        <v>78</v>
      </c>
    </row>
    <row r="136" spans="1:5">
      <c r="A136" s="27">
        <v>44801</v>
      </c>
      <c r="B136" s="32" t="s">
        <v>183</v>
      </c>
      <c r="C136" s="22">
        <v>15000</v>
      </c>
      <c r="D136" t="s">
        <v>22</v>
      </c>
      <c r="E136" t="s">
        <v>48</v>
      </c>
    </row>
    <row r="137" spans="1:5">
      <c r="A137" s="27">
        <v>44801</v>
      </c>
      <c r="B137" s="32" t="s">
        <v>184</v>
      </c>
      <c r="C137" s="22">
        <v>6350</v>
      </c>
      <c r="D137" t="s">
        <v>22</v>
      </c>
      <c r="E137" t="s">
        <v>53</v>
      </c>
    </row>
    <row r="138" spans="1:5">
      <c r="A138" s="27">
        <v>44808</v>
      </c>
      <c r="B138" s="32" t="s">
        <v>185</v>
      </c>
      <c r="C138" s="22">
        <v>5500</v>
      </c>
      <c r="D138" t="s">
        <v>17</v>
      </c>
      <c r="E138" t="s">
        <v>72</v>
      </c>
    </row>
    <row r="139" spans="1:5">
      <c r="A139" s="27">
        <v>44808</v>
      </c>
      <c r="B139" s="32" t="s">
        <v>171</v>
      </c>
      <c r="C139" s="22">
        <v>5000</v>
      </c>
      <c r="D139" t="s">
        <v>17</v>
      </c>
      <c r="E139" t="s">
        <v>75</v>
      </c>
    </row>
    <row r="140" spans="1:5">
      <c r="A140" s="27">
        <v>44815</v>
      </c>
      <c r="B140" s="32" t="s">
        <v>186</v>
      </c>
      <c r="C140" s="22">
        <v>23000</v>
      </c>
      <c r="D140" t="s">
        <v>17</v>
      </c>
      <c r="E140" t="s">
        <v>80</v>
      </c>
    </row>
    <row r="141" spans="1:5">
      <c r="A141" s="27">
        <v>44815</v>
      </c>
      <c r="B141" s="32" t="s">
        <v>187</v>
      </c>
      <c r="C141" s="22">
        <v>11000</v>
      </c>
      <c r="D141" t="s">
        <v>22</v>
      </c>
      <c r="E141" t="s">
        <v>32</v>
      </c>
    </row>
    <row r="142" spans="1:5">
      <c r="A142" s="27">
        <v>44815</v>
      </c>
      <c r="B142" s="32" t="s">
        <v>183</v>
      </c>
      <c r="C142" s="22">
        <v>10000</v>
      </c>
      <c r="D142" t="s">
        <v>22</v>
      </c>
      <c r="E142" t="s">
        <v>48</v>
      </c>
    </row>
    <row r="143" spans="1:5">
      <c r="A143" s="27">
        <v>44815</v>
      </c>
      <c r="B143" s="32" t="s">
        <v>170</v>
      </c>
      <c r="C143" s="22">
        <v>5000</v>
      </c>
      <c r="D143" t="s">
        <v>17</v>
      </c>
      <c r="E143" t="s">
        <v>68</v>
      </c>
    </row>
    <row r="144" spans="1:5">
      <c r="A144" s="27">
        <v>44815</v>
      </c>
      <c r="B144" s="32" t="s">
        <v>188</v>
      </c>
      <c r="C144" s="22">
        <v>3000</v>
      </c>
      <c r="D144" t="s">
        <v>17</v>
      </c>
      <c r="E144" t="s">
        <v>62</v>
      </c>
    </row>
    <row r="145" spans="1:5">
      <c r="A145" s="27">
        <v>44815</v>
      </c>
      <c r="B145" s="32" t="s">
        <v>189</v>
      </c>
      <c r="C145" s="22">
        <v>2200</v>
      </c>
      <c r="D145" t="s">
        <v>17</v>
      </c>
      <c r="E145" t="s">
        <v>53</v>
      </c>
    </row>
    <row r="146" spans="1:5">
      <c r="A146" s="27">
        <v>44815</v>
      </c>
      <c r="B146" s="32" t="s">
        <v>189</v>
      </c>
      <c r="C146" s="22">
        <v>2200</v>
      </c>
      <c r="D146" t="s">
        <v>17</v>
      </c>
      <c r="E146" t="s">
        <v>53</v>
      </c>
    </row>
    <row r="147" spans="1:5">
      <c r="A147" s="27">
        <v>44817</v>
      </c>
      <c r="B147" s="32" t="s">
        <v>190</v>
      </c>
      <c r="C147" s="22">
        <v>7000</v>
      </c>
      <c r="D147" t="s">
        <v>22</v>
      </c>
      <c r="E147" t="s">
        <v>40</v>
      </c>
    </row>
    <row r="148" spans="1:5">
      <c r="A148" s="27">
        <v>44820</v>
      </c>
      <c r="B148" s="32" t="s">
        <v>191</v>
      </c>
      <c r="C148" s="22">
        <v>10000</v>
      </c>
      <c r="D148" t="s">
        <v>22</v>
      </c>
      <c r="E148" t="s">
        <v>40</v>
      </c>
    </row>
    <row r="149" spans="1:5">
      <c r="A149" s="27">
        <v>44824</v>
      </c>
      <c r="B149" s="32" t="s">
        <v>192</v>
      </c>
      <c r="C149" s="22">
        <v>4000</v>
      </c>
      <c r="D149" t="s">
        <v>17</v>
      </c>
      <c r="E149" t="s">
        <v>40</v>
      </c>
    </row>
    <row r="150" spans="1:5">
      <c r="A150" s="27">
        <v>44824</v>
      </c>
      <c r="B150" s="32" t="s">
        <v>193</v>
      </c>
      <c r="C150" s="22">
        <v>3000</v>
      </c>
      <c r="D150" t="s">
        <v>22</v>
      </c>
      <c r="E150" t="s">
        <v>40</v>
      </c>
    </row>
    <row r="151" spans="1:5">
      <c r="A151" s="27">
        <v>44838</v>
      </c>
      <c r="B151" s="32" t="s">
        <v>194</v>
      </c>
      <c r="C151" s="22">
        <v>6000</v>
      </c>
      <c r="D151" t="s">
        <v>22</v>
      </c>
      <c r="E151" t="s">
        <v>40</v>
      </c>
    </row>
    <row r="152" spans="1:5">
      <c r="A152" s="27">
        <v>44843</v>
      </c>
      <c r="B152" s="32" t="s">
        <v>195</v>
      </c>
      <c r="C152" s="22">
        <v>2200</v>
      </c>
      <c r="D152" t="s">
        <v>17</v>
      </c>
      <c r="E152" t="s">
        <v>53</v>
      </c>
    </row>
    <row r="153" spans="1:5">
      <c r="A153" s="27">
        <v>44853</v>
      </c>
      <c r="B153" s="32" t="s">
        <v>196</v>
      </c>
      <c r="C153" s="22">
        <v>1800</v>
      </c>
      <c r="D153" t="s">
        <v>17</v>
      </c>
      <c r="E153" t="s">
        <v>48</v>
      </c>
    </row>
    <row r="154" spans="1:5">
      <c r="A154" s="27">
        <v>44857</v>
      </c>
      <c r="B154" s="32" t="s">
        <v>197</v>
      </c>
      <c r="C154" s="22">
        <v>5500</v>
      </c>
      <c r="D154" t="s">
        <v>17</v>
      </c>
      <c r="E154" t="s">
        <v>40</v>
      </c>
    </row>
    <row r="155" spans="1:5">
      <c r="A155" s="27">
        <v>44857</v>
      </c>
      <c r="B155" s="32" t="s">
        <v>198</v>
      </c>
      <c r="C155" s="22">
        <v>5000</v>
      </c>
      <c r="D155" t="s">
        <v>22</v>
      </c>
      <c r="E155" t="s">
        <v>40</v>
      </c>
    </row>
    <row r="156" spans="1:5">
      <c r="A156" s="27">
        <v>44857</v>
      </c>
      <c r="B156" s="32" t="s">
        <v>199</v>
      </c>
      <c r="C156" s="22">
        <v>2200</v>
      </c>
      <c r="D156" t="s">
        <v>17</v>
      </c>
      <c r="E156" t="s">
        <v>53</v>
      </c>
    </row>
    <row r="157" spans="1:5">
      <c r="A157" s="27">
        <v>44857</v>
      </c>
      <c r="B157" s="32" t="s">
        <v>200</v>
      </c>
      <c r="C157" s="22">
        <v>2000</v>
      </c>
      <c r="D157" t="s">
        <v>17</v>
      </c>
      <c r="E157" t="s">
        <v>40</v>
      </c>
    </row>
    <row r="158" spans="1:5">
      <c r="A158" s="27">
        <v>44857</v>
      </c>
      <c r="B158" s="32" t="s">
        <v>201</v>
      </c>
      <c r="C158" s="22">
        <v>2000</v>
      </c>
      <c r="D158" t="s">
        <v>17</v>
      </c>
      <c r="E158" t="s">
        <v>53</v>
      </c>
    </row>
    <row r="159" spans="1:5">
      <c r="A159" s="27">
        <v>44859</v>
      </c>
      <c r="B159" s="32" t="s">
        <v>202</v>
      </c>
      <c r="C159" s="22">
        <v>11100</v>
      </c>
      <c r="D159" t="s">
        <v>22</v>
      </c>
      <c r="E159" t="s">
        <v>48</v>
      </c>
    </row>
    <row r="160" spans="1:5">
      <c r="A160" s="27">
        <v>44859</v>
      </c>
      <c r="B160" s="32" t="s">
        <v>203</v>
      </c>
      <c r="C160" s="22">
        <v>2100</v>
      </c>
      <c r="D160" t="s">
        <v>22</v>
      </c>
      <c r="E160" t="s">
        <v>53</v>
      </c>
    </row>
    <row r="161" spans="1:5">
      <c r="A161" s="27">
        <v>44862</v>
      </c>
      <c r="B161" s="32" t="s">
        <v>204</v>
      </c>
      <c r="C161" s="22">
        <v>7800</v>
      </c>
      <c r="D161" t="s">
        <v>22</v>
      </c>
      <c r="E161" t="s">
        <v>48</v>
      </c>
    </row>
    <row r="162" spans="1:5">
      <c r="A162" s="27">
        <v>44862</v>
      </c>
      <c r="B162" s="32" t="s">
        <v>205</v>
      </c>
      <c r="C162" s="22">
        <v>650</v>
      </c>
      <c r="D162" t="s">
        <v>22</v>
      </c>
      <c r="E162" t="s">
        <v>206</v>
      </c>
    </row>
    <row r="163" spans="1:5">
      <c r="A163" s="27">
        <v>44863</v>
      </c>
      <c r="B163" s="32" t="s">
        <v>207</v>
      </c>
      <c r="C163" s="22">
        <v>7000</v>
      </c>
      <c r="D163" t="s">
        <v>17</v>
      </c>
      <c r="E163" t="s">
        <v>208</v>
      </c>
    </row>
    <row r="164" spans="1:5">
      <c r="A164" s="27">
        <v>44863</v>
      </c>
      <c r="B164" s="32" t="s">
        <v>209</v>
      </c>
      <c r="C164" s="22">
        <v>5000</v>
      </c>
      <c r="D164" t="s">
        <v>210</v>
      </c>
      <c r="E164" t="s">
        <v>40</v>
      </c>
    </row>
    <row r="165" spans="1:5">
      <c r="A165" s="27">
        <v>44863</v>
      </c>
      <c r="B165" s="32" t="s">
        <v>211</v>
      </c>
      <c r="C165" s="22">
        <v>4000</v>
      </c>
      <c r="D165" t="s">
        <v>210</v>
      </c>
      <c r="E165" t="s">
        <v>40</v>
      </c>
    </row>
    <row r="166" spans="1:5">
      <c r="A166" s="27">
        <v>44863</v>
      </c>
      <c r="B166" s="32" t="s">
        <v>212</v>
      </c>
      <c r="C166" s="22">
        <v>2000</v>
      </c>
      <c r="D166" t="s">
        <v>210</v>
      </c>
      <c r="E166" t="s">
        <v>40</v>
      </c>
    </row>
    <row r="167" spans="1:5">
      <c r="A167" s="27">
        <v>44863</v>
      </c>
      <c r="B167" s="32" t="s">
        <v>213</v>
      </c>
      <c r="C167" s="22">
        <v>1500</v>
      </c>
      <c r="D167" t="s">
        <v>22</v>
      </c>
      <c r="E167" t="s">
        <v>214</v>
      </c>
    </row>
    <row r="168" spans="1:5">
      <c r="A168" s="27">
        <v>44863</v>
      </c>
      <c r="B168" s="32" t="s">
        <v>215</v>
      </c>
      <c r="C168" s="22">
        <v>1000</v>
      </c>
      <c r="D168" t="s">
        <v>22</v>
      </c>
      <c r="E168" t="s">
        <v>53</v>
      </c>
    </row>
    <row r="169" spans="1:5">
      <c r="A169" s="27">
        <v>44863</v>
      </c>
      <c r="B169" s="32" t="s">
        <v>216</v>
      </c>
      <c r="C169" s="22">
        <v>1000</v>
      </c>
      <c r="D169" t="s">
        <v>210</v>
      </c>
      <c r="E169" t="s">
        <v>40</v>
      </c>
    </row>
    <row r="170" spans="1:5">
      <c r="A170" s="27">
        <v>44863</v>
      </c>
      <c r="B170" s="32" t="s">
        <v>217</v>
      </c>
      <c r="C170" s="22">
        <v>300</v>
      </c>
      <c r="D170" t="s">
        <v>17</v>
      </c>
      <c r="E170" t="s">
        <v>206</v>
      </c>
    </row>
    <row r="171" spans="1:5">
      <c r="A171" s="27">
        <v>44863</v>
      </c>
      <c r="B171" s="32" t="s">
        <v>218</v>
      </c>
      <c r="C171" s="22">
        <v>200</v>
      </c>
      <c r="D171" t="s">
        <v>210</v>
      </c>
      <c r="E171" t="s">
        <v>206</v>
      </c>
    </row>
    <row r="172" spans="1:5">
      <c r="A172" s="27">
        <v>44864</v>
      </c>
      <c r="B172" s="32" t="s">
        <v>219</v>
      </c>
      <c r="C172" s="22">
        <v>1880</v>
      </c>
      <c r="D172" t="s">
        <v>22</v>
      </c>
      <c r="E172" t="s">
        <v>214</v>
      </c>
    </row>
    <row r="173" spans="1:5">
      <c r="A173" s="27">
        <v>44864</v>
      </c>
      <c r="B173" s="32" t="s">
        <v>220</v>
      </c>
      <c r="C173" s="22">
        <v>1500</v>
      </c>
      <c r="D173" t="s">
        <v>22</v>
      </c>
      <c r="E173" t="s">
        <v>53</v>
      </c>
    </row>
    <row r="174" spans="1:5">
      <c r="A174" s="27">
        <v>44870</v>
      </c>
      <c r="B174" s="32" t="s">
        <v>221</v>
      </c>
      <c r="C174" s="22">
        <v>9300</v>
      </c>
      <c r="D174" t="s">
        <v>210</v>
      </c>
      <c r="E174" t="s">
        <v>40</v>
      </c>
    </row>
    <row r="175" spans="1:5">
      <c r="A175" s="27">
        <v>44880</v>
      </c>
      <c r="B175" s="32" t="s">
        <v>194</v>
      </c>
      <c r="C175" s="22">
        <v>6000</v>
      </c>
      <c r="D175" t="s">
        <v>22</v>
      </c>
      <c r="E175" t="s">
        <v>40</v>
      </c>
    </row>
    <row r="176" spans="1:5">
      <c r="A176" s="27">
        <v>44883</v>
      </c>
      <c r="B176" s="32" t="s">
        <v>222</v>
      </c>
      <c r="C176" s="22">
        <v>5000</v>
      </c>
      <c r="D176" t="s">
        <v>22</v>
      </c>
      <c r="E176" t="s">
        <v>68</v>
      </c>
    </row>
    <row r="177" spans="1:5">
      <c r="A177" s="27">
        <v>44889</v>
      </c>
      <c r="B177" s="32" t="s">
        <v>223</v>
      </c>
      <c r="C177" s="22">
        <v>10000</v>
      </c>
      <c r="D177" t="s">
        <v>22</v>
      </c>
      <c r="E177" t="s">
        <v>224</v>
      </c>
    </row>
    <row r="178" spans="1:5">
      <c r="A178" s="27">
        <v>44889</v>
      </c>
      <c r="B178" s="32" t="s">
        <v>223</v>
      </c>
      <c r="C178" s="22">
        <v>1000</v>
      </c>
      <c r="D178" t="s">
        <v>210</v>
      </c>
      <c r="E178" t="s">
        <v>224</v>
      </c>
    </row>
    <row r="179" spans="1:5">
      <c r="A179" s="27">
        <v>44889</v>
      </c>
      <c r="B179" s="32" t="s">
        <v>225</v>
      </c>
      <c r="C179" s="22">
        <v>1000</v>
      </c>
      <c r="D179" t="s">
        <v>210</v>
      </c>
      <c r="E179" t="s">
        <v>226</v>
      </c>
    </row>
    <row r="180" spans="1:5">
      <c r="A180" s="27">
        <v>44890</v>
      </c>
      <c r="B180" s="32" t="s">
        <v>227</v>
      </c>
      <c r="C180" s="22">
        <v>1000</v>
      </c>
      <c r="D180" t="s">
        <v>17</v>
      </c>
      <c r="E180" t="s">
        <v>228</v>
      </c>
    </row>
    <row r="181" spans="1:5">
      <c r="A181" s="27">
        <v>44891</v>
      </c>
      <c r="B181" s="32" t="s">
        <v>229</v>
      </c>
      <c r="C181" s="22">
        <v>4500</v>
      </c>
      <c r="D181" t="s">
        <v>22</v>
      </c>
      <c r="E181" t="s">
        <v>48</v>
      </c>
    </row>
    <row r="182" spans="1:5">
      <c r="A182" s="27">
        <v>44896</v>
      </c>
      <c r="B182" s="32" t="s">
        <v>230</v>
      </c>
      <c r="C182" s="22">
        <v>2800</v>
      </c>
      <c r="D182" t="s">
        <v>22</v>
      </c>
      <c r="E182" t="s">
        <v>40</v>
      </c>
    </row>
    <row r="183" spans="1:5">
      <c r="A183" s="27">
        <v>44897</v>
      </c>
      <c r="B183" s="32" t="s">
        <v>231</v>
      </c>
      <c r="C183" s="22">
        <v>2500</v>
      </c>
      <c r="D183" t="s">
        <v>17</v>
      </c>
      <c r="E183" t="s">
        <v>232</v>
      </c>
    </row>
    <row r="184" spans="1:5">
      <c r="A184" s="27">
        <v>44901</v>
      </c>
      <c r="B184" s="32" t="s">
        <v>233</v>
      </c>
      <c r="C184" s="22">
        <v>4000</v>
      </c>
      <c r="D184" t="s">
        <v>22</v>
      </c>
      <c r="E184" t="s">
        <v>40</v>
      </c>
    </row>
    <row r="185" spans="1:5">
      <c r="A185" s="27">
        <v>44901</v>
      </c>
      <c r="B185" s="32" t="s">
        <v>234</v>
      </c>
      <c r="C185" s="22">
        <v>2000</v>
      </c>
      <c r="D185" t="s">
        <v>22</v>
      </c>
      <c r="E185" t="s">
        <v>232</v>
      </c>
    </row>
    <row r="186" spans="1:5">
      <c r="A186" s="27">
        <v>44905</v>
      </c>
      <c r="B186" s="32" t="s">
        <v>194</v>
      </c>
      <c r="C186" s="22">
        <v>6000</v>
      </c>
      <c r="D186" t="s">
        <v>22</v>
      </c>
      <c r="E186" t="s">
        <v>40</v>
      </c>
    </row>
    <row r="187" spans="1:5">
      <c r="A187" s="27">
        <v>44866</v>
      </c>
      <c r="B187" s="32" t="s">
        <v>235</v>
      </c>
      <c r="C187" s="22">
        <v>50000</v>
      </c>
      <c r="D187" t="s">
        <v>22</v>
      </c>
      <c r="E187" t="s">
        <v>236</v>
      </c>
    </row>
    <row r="188" spans="1:5">
      <c r="A188" s="27">
        <v>44866</v>
      </c>
      <c r="B188" s="32" t="s">
        <v>235</v>
      </c>
      <c r="C188" s="22">
        <v>50000</v>
      </c>
      <c r="D188" t="s">
        <v>17</v>
      </c>
      <c r="E188" t="s">
        <v>236</v>
      </c>
    </row>
    <row r="189" spans="1:5">
      <c r="A189" s="27">
        <v>44907</v>
      </c>
      <c r="B189" s="32" t="s">
        <v>222</v>
      </c>
      <c r="C189" s="22">
        <v>5000</v>
      </c>
      <c r="D189" t="s">
        <v>22</v>
      </c>
      <c r="E189" t="s">
        <v>68</v>
      </c>
    </row>
    <row r="190" spans="1:5">
      <c r="A190" s="27">
        <v>44907</v>
      </c>
      <c r="B190" s="32" t="s">
        <v>237</v>
      </c>
      <c r="C190" s="22">
        <v>3000</v>
      </c>
      <c r="D190" t="s">
        <v>17</v>
      </c>
      <c r="E190" t="s">
        <v>232</v>
      </c>
    </row>
    <row r="191" spans="1:5">
      <c r="A191" s="27">
        <v>44913</v>
      </c>
      <c r="B191" s="32" t="s">
        <v>238</v>
      </c>
      <c r="C191" s="22">
        <v>2500</v>
      </c>
      <c r="D191" t="s">
        <v>22</v>
      </c>
      <c r="E191" t="s">
        <v>40</v>
      </c>
    </row>
    <row r="192" spans="1:5">
      <c r="A192" s="27">
        <v>44921</v>
      </c>
      <c r="B192" s="32" t="s">
        <v>237</v>
      </c>
      <c r="C192" s="22">
        <v>3500</v>
      </c>
      <c r="D192" t="s">
        <v>17</v>
      </c>
      <c r="E192" t="s">
        <v>232</v>
      </c>
    </row>
    <row r="193" spans="1:5">
      <c r="A193" s="27">
        <v>44922</v>
      </c>
      <c r="B193" s="32" t="s">
        <v>239</v>
      </c>
      <c r="C193" s="22">
        <v>1000</v>
      </c>
      <c r="D193" t="s">
        <v>17</v>
      </c>
      <c r="E193" t="s">
        <v>240</v>
      </c>
    </row>
    <row r="194" spans="1:5">
      <c r="A194" s="27">
        <v>44923</v>
      </c>
      <c r="B194" s="32" t="s">
        <v>241</v>
      </c>
      <c r="C194" s="22">
        <v>5000</v>
      </c>
      <c r="D194" t="s">
        <v>22</v>
      </c>
      <c r="E194" t="s">
        <v>68</v>
      </c>
    </row>
    <row r="195" spans="1:5">
      <c r="A195" s="27">
        <v>44923</v>
      </c>
      <c r="B195" s="32" t="s">
        <v>242</v>
      </c>
      <c r="C195" s="22">
        <v>2550</v>
      </c>
      <c r="D195" t="s">
        <v>22</v>
      </c>
      <c r="E195" t="s">
        <v>53</v>
      </c>
    </row>
    <row r="196" spans="1:5">
      <c r="A196" s="27">
        <v>44923</v>
      </c>
      <c r="B196" s="32" t="s">
        <v>243</v>
      </c>
      <c r="C196" s="22">
        <v>2500</v>
      </c>
      <c r="D196" t="s">
        <v>22</v>
      </c>
      <c r="E196" t="s">
        <v>48</v>
      </c>
    </row>
    <row r="197" spans="1:5">
      <c r="A197" s="27">
        <v>44923</v>
      </c>
      <c r="B197" s="32" t="s">
        <v>244</v>
      </c>
      <c r="C197" s="22">
        <v>2000</v>
      </c>
      <c r="D197" t="s">
        <v>17</v>
      </c>
      <c r="E197" t="s">
        <v>245</v>
      </c>
    </row>
    <row r="198" spans="1:5">
      <c r="A198" s="27">
        <v>44925</v>
      </c>
      <c r="B198" s="32" t="s">
        <v>246</v>
      </c>
      <c r="C198" s="22">
        <v>3000</v>
      </c>
      <c r="D198" t="s">
        <v>17</v>
      </c>
      <c r="E198" t="s">
        <v>40</v>
      </c>
    </row>
    <row r="199" spans="1:5">
      <c r="A199" s="27">
        <v>44932</v>
      </c>
      <c r="B199" s="32" t="s">
        <v>194</v>
      </c>
      <c r="C199" s="22">
        <v>6000</v>
      </c>
      <c r="D199" t="s">
        <v>22</v>
      </c>
      <c r="E199" t="s">
        <v>40</v>
      </c>
    </row>
    <row r="200" spans="1:5">
      <c r="A200" s="27">
        <v>44947</v>
      </c>
      <c r="B200" s="32" t="s">
        <v>247</v>
      </c>
      <c r="C200" s="22">
        <v>15000</v>
      </c>
      <c r="D200" t="s">
        <v>17</v>
      </c>
      <c r="E200" t="s">
        <v>53</v>
      </c>
    </row>
    <row r="201" spans="1:5">
      <c r="A201" s="27">
        <v>44948</v>
      </c>
      <c r="B201" s="32" t="s">
        <v>248</v>
      </c>
      <c r="C201" s="22">
        <v>10000</v>
      </c>
      <c r="D201" t="s">
        <v>22</v>
      </c>
      <c r="E201" t="s">
        <v>64</v>
      </c>
    </row>
    <row r="202" spans="1:5">
      <c r="A202" s="27">
        <v>44948</v>
      </c>
      <c r="B202" s="32" t="s">
        <v>249</v>
      </c>
      <c r="C202" s="22">
        <v>6000</v>
      </c>
      <c r="D202" t="s">
        <v>17</v>
      </c>
      <c r="E202" t="s">
        <v>250</v>
      </c>
    </row>
    <row r="203" spans="1:5">
      <c r="A203" s="27">
        <v>44948</v>
      </c>
      <c r="B203" s="32" t="s">
        <v>251</v>
      </c>
      <c r="C203" s="22">
        <v>3600</v>
      </c>
      <c r="D203" t="s">
        <v>17</v>
      </c>
      <c r="E203" t="s">
        <v>252</v>
      </c>
    </row>
    <row r="204" spans="1:5">
      <c r="A204" s="27">
        <v>44948</v>
      </c>
      <c r="B204" s="32" t="s">
        <v>253</v>
      </c>
      <c r="C204" s="22">
        <v>2200</v>
      </c>
      <c r="D204" t="s">
        <v>17</v>
      </c>
      <c r="E204" t="s">
        <v>53</v>
      </c>
    </row>
    <row r="205" spans="1:5">
      <c r="A205" s="27">
        <v>44948</v>
      </c>
      <c r="B205" s="32" t="s">
        <v>254</v>
      </c>
      <c r="C205" s="22">
        <v>1000</v>
      </c>
      <c r="D205" t="s">
        <v>22</v>
      </c>
      <c r="E205" t="s">
        <v>53</v>
      </c>
    </row>
    <row r="206" spans="1:5">
      <c r="A206" s="27">
        <v>44948</v>
      </c>
      <c r="B206" s="32" t="s">
        <v>252</v>
      </c>
      <c r="C206" s="22">
        <v>500</v>
      </c>
      <c r="D206" t="s">
        <v>17</v>
      </c>
      <c r="E206" t="s">
        <v>252</v>
      </c>
    </row>
    <row r="207" spans="1:5">
      <c r="A207" s="27">
        <v>44962</v>
      </c>
      <c r="B207" s="32" t="s">
        <v>255</v>
      </c>
      <c r="C207" s="22">
        <v>2000</v>
      </c>
      <c r="D207" t="s">
        <v>17</v>
      </c>
      <c r="E207" t="s">
        <v>256</v>
      </c>
    </row>
    <row r="208" spans="1:5">
      <c r="A208" s="27">
        <v>44969</v>
      </c>
      <c r="B208" s="32" t="s">
        <v>194</v>
      </c>
      <c r="C208" s="22">
        <v>6000</v>
      </c>
      <c r="D208" t="s">
        <v>17</v>
      </c>
      <c r="E208" t="s">
        <v>40</v>
      </c>
    </row>
    <row r="209" spans="1:5">
      <c r="A209" s="27">
        <v>44969</v>
      </c>
      <c r="B209" s="32" t="s">
        <v>257</v>
      </c>
      <c r="C209" s="22">
        <v>5000</v>
      </c>
      <c r="D209" t="s">
        <v>17</v>
      </c>
      <c r="E209" t="s">
        <v>258</v>
      </c>
    </row>
    <row r="210" spans="1:5">
      <c r="A210" s="27">
        <v>44969</v>
      </c>
      <c r="B210" s="32" t="s">
        <v>259</v>
      </c>
      <c r="C210" s="22">
        <v>3200</v>
      </c>
      <c r="D210" t="s">
        <v>17</v>
      </c>
      <c r="E210" t="s">
        <v>40</v>
      </c>
    </row>
    <row r="211" spans="1:5">
      <c r="A211" s="27">
        <v>44969</v>
      </c>
      <c r="B211" s="32" t="s">
        <v>260</v>
      </c>
      <c r="C211" s="22">
        <v>1500</v>
      </c>
      <c r="D211" t="s">
        <v>17</v>
      </c>
      <c r="E211" t="s">
        <v>40</v>
      </c>
    </row>
    <row r="212" spans="1:5">
      <c r="A212" s="27">
        <v>44969</v>
      </c>
      <c r="B212" s="32" t="s">
        <v>261</v>
      </c>
      <c r="C212" s="22">
        <v>250</v>
      </c>
      <c r="D212" t="s">
        <v>17</v>
      </c>
      <c r="E212" t="s">
        <v>40</v>
      </c>
    </row>
    <row r="213" spans="1:5">
      <c r="A213" s="27">
        <v>44970</v>
      </c>
      <c r="B213" s="32" t="s">
        <v>262</v>
      </c>
      <c r="C213" s="22">
        <v>1450</v>
      </c>
      <c r="D213" t="s">
        <v>17</v>
      </c>
      <c r="E213" t="s">
        <v>214</v>
      </c>
    </row>
    <row r="214" spans="1:5">
      <c r="A214" s="27">
        <v>44971</v>
      </c>
      <c r="B214" s="32" t="s">
        <v>263</v>
      </c>
      <c r="C214" s="22">
        <v>120</v>
      </c>
      <c r="D214" t="s">
        <v>17</v>
      </c>
      <c r="E214" t="s">
        <v>264</v>
      </c>
    </row>
    <row r="215" spans="1:5">
      <c r="A215" s="27">
        <v>44975</v>
      </c>
      <c r="B215" s="32" t="s">
        <v>265</v>
      </c>
      <c r="C215" s="22">
        <v>1900</v>
      </c>
      <c r="D215" t="s">
        <v>22</v>
      </c>
      <c r="E215" t="s">
        <v>232</v>
      </c>
    </row>
    <row r="216" spans="1:5">
      <c r="A216" s="27">
        <v>44983</v>
      </c>
      <c r="B216" s="32" t="s">
        <v>266</v>
      </c>
      <c r="C216" s="22">
        <v>3750</v>
      </c>
      <c r="D216" t="s">
        <v>22</v>
      </c>
      <c r="E216" t="s">
        <v>53</v>
      </c>
    </row>
    <row r="217" spans="1:5">
      <c r="A217" s="27">
        <v>44983</v>
      </c>
      <c r="B217" s="32" t="s">
        <v>267</v>
      </c>
      <c r="C217" s="22">
        <v>1200</v>
      </c>
      <c r="D217" t="s">
        <v>17</v>
      </c>
      <c r="E217" t="s">
        <v>64</v>
      </c>
    </row>
    <row r="218" spans="1:5">
      <c r="A218" s="27">
        <v>44984</v>
      </c>
      <c r="B218" s="32" t="s">
        <v>268</v>
      </c>
      <c r="C218" s="22">
        <v>20000</v>
      </c>
      <c r="D218" t="s">
        <v>22</v>
      </c>
      <c r="E218" t="s">
        <v>64</v>
      </c>
    </row>
    <row r="219" spans="1:5">
      <c r="A219" s="27">
        <v>44989</v>
      </c>
      <c r="B219" s="32" t="s">
        <v>268</v>
      </c>
      <c r="C219" s="22">
        <v>6000</v>
      </c>
      <c r="D219" t="s">
        <v>22</v>
      </c>
      <c r="E219" t="s">
        <v>64</v>
      </c>
    </row>
    <row r="220" spans="1:5">
      <c r="A220" s="27">
        <v>44989</v>
      </c>
      <c r="B220" s="32" t="s">
        <v>194</v>
      </c>
      <c r="C220" s="22">
        <v>6000</v>
      </c>
      <c r="D220" t="s">
        <v>22</v>
      </c>
      <c r="E220" t="s">
        <v>40</v>
      </c>
    </row>
    <row r="221" spans="1:5">
      <c r="A221" s="27">
        <v>44989</v>
      </c>
      <c r="B221" s="32" t="s">
        <v>248</v>
      </c>
      <c r="C221" s="22">
        <v>4500</v>
      </c>
      <c r="D221" t="s">
        <v>17</v>
      </c>
      <c r="E221" t="s">
        <v>64</v>
      </c>
    </row>
    <row r="222" spans="1:5">
      <c r="A222" s="27" t="s">
        <v>269</v>
      </c>
      <c r="B222" s="32" t="s">
        <v>189</v>
      </c>
      <c r="C222" s="22">
        <v>2100</v>
      </c>
      <c r="D222" t="s">
        <v>22</v>
      </c>
      <c r="E222" t="s">
        <v>53</v>
      </c>
    </row>
    <row r="223" spans="1:5">
      <c r="A223" s="27">
        <v>45002</v>
      </c>
      <c r="B223" s="32" t="s">
        <v>270</v>
      </c>
      <c r="C223" s="22">
        <v>5000</v>
      </c>
      <c r="D223" t="s">
        <v>22</v>
      </c>
      <c r="E223" t="s">
        <v>64</v>
      </c>
    </row>
    <row r="224" spans="1:5">
      <c r="A224" s="27">
        <v>45002</v>
      </c>
      <c r="B224" s="32" t="s">
        <v>266</v>
      </c>
      <c r="C224" s="22">
        <v>3000</v>
      </c>
      <c r="D224" t="s">
        <v>22</v>
      </c>
      <c r="E224" t="s">
        <v>53</v>
      </c>
    </row>
    <row r="225" spans="1:5">
      <c r="A225" s="27">
        <v>45002</v>
      </c>
      <c r="B225" s="32" t="s">
        <v>257</v>
      </c>
      <c r="C225" s="22">
        <v>5000</v>
      </c>
      <c r="D225" t="s">
        <v>17</v>
      </c>
      <c r="E225" t="s">
        <v>271</v>
      </c>
    </row>
    <row r="226" spans="1:5">
      <c r="A226" s="27">
        <v>45002</v>
      </c>
      <c r="B226" s="32" t="s">
        <v>272</v>
      </c>
      <c r="C226" s="22">
        <v>6000</v>
      </c>
      <c r="D226" t="s">
        <v>17</v>
      </c>
      <c r="E226" t="s">
        <v>40</v>
      </c>
    </row>
    <row r="227" spans="1:5">
      <c r="A227" s="27">
        <v>45002</v>
      </c>
      <c r="B227" s="32" t="s">
        <v>273</v>
      </c>
      <c r="C227" s="22">
        <v>1000</v>
      </c>
      <c r="D227" t="s">
        <v>17</v>
      </c>
      <c r="E227" t="s">
        <v>206</v>
      </c>
    </row>
    <row r="228" spans="1:5">
      <c r="A228" s="27">
        <v>45020</v>
      </c>
      <c r="B228" s="32" t="s">
        <v>274</v>
      </c>
      <c r="C228" s="22">
        <v>5000</v>
      </c>
      <c r="D228" t="s">
        <v>17</v>
      </c>
      <c r="E228" t="s">
        <v>206</v>
      </c>
    </row>
    <row r="229" spans="1:5">
      <c r="A229" s="27">
        <v>45036</v>
      </c>
      <c r="B229" s="32" t="s">
        <v>275</v>
      </c>
      <c r="C229" s="22">
        <v>2500</v>
      </c>
      <c r="D229" t="s">
        <v>17</v>
      </c>
      <c r="E229" t="s">
        <v>206</v>
      </c>
    </row>
    <row r="230" spans="1:5">
      <c r="A230" s="27">
        <v>45038</v>
      </c>
      <c r="B230" s="32" t="s">
        <v>189</v>
      </c>
      <c r="C230" s="22">
        <v>2200</v>
      </c>
      <c r="D230" t="s">
        <v>17</v>
      </c>
      <c r="E230" t="s">
        <v>53</v>
      </c>
    </row>
    <row r="231" spans="1:5">
      <c r="A231" s="27">
        <v>45038</v>
      </c>
      <c r="B231" s="32" t="s">
        <v>276</v>
      </c>
      <c r="C231" s="22">
        <v>3000</v>
      </c>
      <c r="D231" t="s">
        <v>17</v>
      </c>
      <c r="E231" t="s">
        <v>40</v>
      </c>
    </row>
    <row r="232" spans="1:5">
      <c r="A232" s="27">
        <v>45018</v>
      </c>
      <c r="B232" s="32" t="s">
        <v>194</v>
      </c>
      <c r="C232" s="22">
        <v>6000</v>
      </c>
      <c r="D232" t="s">
        <v>22</v>
      </c>
      <c r="E232" t="s">
        <v>40</v>
      </c>
    </row>
    <row r="233" spans="1:5">
      <c r="A233" s="27">
        <v>45018</v>
      </c>
      <c r="B233" s="32" t="s">
        <v>257</v>
      </c>
      <c r="C233" s="22">
        <v>5000</v>
      </c>
      <c r="D233" t="s">
        <v>22</v>
      </c>
      <c r="E233" t="s">
        <v>68</v>
      </c>
    </row>
    <row r="234" spans="1:5">
      <c r="A234" s="27">
        <v>45031</v>
      </c>
      <c r="B234" s="32" t="s">
        <v>277</v>
      </c>
      <c r="C234" s="22">
        <v>7000</v>
      </c>
      <c r="D234" t="s">
        <v>22</v>
      </c>
      <c r="E234" t="s">
        <v>278</v>
      </c>
    </row>
    <row r="235" spans="1:5">
      <c r="A235" s="27">
        <v>45058</v>
      </c>
      <c r="B235" s="32" t="s">
        <v>194</v>
      </c>
      <c r="C235" s="22">
        <v>6000</v>
      </c>
      <c r="D235" t="s">
        <v>22</v>
      </c>
      <c r="E235" t="s">
        <v>40</v>
      </c>
    </row>
    <row r="236" spans="1:5">
      <c r="A236" s="27">
        <v>45058</v>
      </c>
      <c r="B236" s="32" t="s">
        <v>257</v>
      </c>
      <c r="C236" s="22">
        <v>5000</v>
      </c>
      <c r="D236" t="s">
        <v>22</v>
      </c>
      <c r="E236" t="s">
        <v>68</v>
      </c>
    </row>
    <row r="237" spans="1:5">
      <c r="A237" s="27">
        <v>45058</v>
      </c>
      <c r="B237" s="32" t="s">
        <v>279</v>
      </c>
      <c r="C237" s="22">
        <v>20000</v>
      </c>
      <c r="D237" t="s">
        <v>22</v>
      </c>
      <c r="E237" t="s">
        <v>280</v>
      </c>
    </row>
    <row r="238" spans="1:5">
      <c r="A238" s="27">
        <v>45058</v>
      </c>
      <c r="B238" s="32" t="s">
        <v>279</v>
      </c>
      <c r="C238" s="22">
        <v>20000</v>
      </c>
      <c r="D238" t="s">
        <v>17</v>
      </c>
      <c r="E238" t="s">
        <v>280</v>
      </c>
    </row>
    <row r="239" spans="1:5">
      <c r="A239" s="27">
        <v>45061</v>
      </c>
      <c r="B239" s="32" t="s">
        <v>281</v>
      </c>
      <c r="C239" s="22">
        <v>2500</v>
      </c>
      <c r="D239" t="s">
        <v>17</v>
      </c>
      <c r="E239" t="s">
        <v>53</v>
      </c>
    </row>
    <row r="240" spans="1:5">
      <c r="A240" s="27">
        <v>45066</v>
      </c>
      <c r="B240" s="32" t="s">
        <v>282</v>
      </c>
      <c r="C240" s="22">
        <v>2000</v>
      </c>
      <c r="D240" t="s">
        <v>17</v>
      </c>
      <c r="E240" t="s">
        <v>40</v>
      </c>
    </row>
    <row r="241" spans="1:6">
      <c r="A241" s="27">
        <v>45066</v>
      </c>
      <c r="B241" s="32" t="s">
        <v>283</v>
      </c>
      <c r="C241" s="22">
        <v>1000</v>
      </c>
      <c r="D241" t="s">
        <v>17</v>
      </c>
      <c r="E241" t="s">
        <v>40</v>
      </c>
    </row>
    <row r="242" spans="1:6">
      <c r="A242" s="27">
        <v>45066</v>
      </c>
      <c r="B242" s="32" t="s">
        <v>284</v>
      </c>
      <c r="C242" s="22">
        <v>2000</v>
      </c>
      <c r="D242" t="s">
        <v>17</v>
      </c>
      <c r="E242" t="s">
        <v>285</v>
      </c>
    </row>
    <row r="243" spans="1:6">
      <c r="A243" s="27">
        <v>45080</v>
      </c>
      <c r="B243" s="32" t="s">
        <v>286</v>
      </c>
      <c r="C243" s="22">
        <v>4500</v>
      </c>
      <c r="D243" t="s">
        <v>17</v>
      </c>
      <c r="E243" t="s">
        <v>40</v>
      </c>
    </row>
    <row r="244" spans="1:6">
      <c r="A244" s="27">
        <v>45079</v>
      </c>
      <c r="B244" s="32" t="s">
        <v>194</v>
      </c>
      <c r="C244" s="22">
        <v>6000</v>
      </c>
      <c r="D244" t="s">
        <v>22</v>
      </c>
      <c r="E244" t="s">
        <v>40</v>
      </c>
    </row>
    <row r="245" spans="1:6">
      <c r="A245" s="27">
        <v>45079</v>
      </c>
      <c r="B245" s="32" t="s">
        <v>257</v>
      </c>
      <c r="C245" s="22">
        <v>5000</v>
      </c>
      <c r="D245" t="s">
        <v>22</v>
      </c>
      <c r="E245" t="s">
        <v>68</v>
      </c>
    </row>
    <row r="246" spans="1:6">
      <c r="A246" s="27">
        <v>45101</v>
      </c>
      <c r="B246" s="32" t="s">
        <v>287</v>
      </c>
      <c r="C246" s="22">
        <v>2200</v>
      </c>
      <c r="D246" t="s">
        <v>17</v>
      </c>
      <c r="E246" t="s">
        <v>53</v>
      </c>
    </row>
    <row r="247" spans="1:6">
      <c r="A247" s="27">
        <v>45101</v>
      </c>
      <c r="B247" s="32" t="s">
        <v>288</v>
      </c>
      <c r="C247" s="22">
        <v>1450</v>
      </c>
      <c r="D247" t="s">
        <v>17</v>
      </c>
      <c r="E247" t="s">
        <v>214</v>
      </c>
    </row>
    <row r="248" spans="1:6">
      <c r="A248" s="27">
        <v>45101</v>
      </c>
      <c r="B248" s="32" t="s">
        <v>289</v>
      </c>
      <c r="C248" s="22">
        <v>500</v>
      </c>
      <c r="D248" t="s">
        <v>17</v>
      </c>
      <c r="E248" t="s">
        <v>290</v>
      </c>
    </row>
    <row r="249" spans="1:6">
      <c r="A249" s="27">
        <v>45101</v>
      </c>
      <c r="B249" s="32" t="s">
        <v>291</v>
      </c>
      <c r="C249" s="22">
        <v>4500</v>
      </c>
      <c r="D249" t="s">
        <v>17</v>
      </c>
      <c r="E249" t="s">
        <v>214</v>
      </c>
    </row>
    <row r="250" spans="1:6">
      <c r="A250" s="27">
        <v>45101</v>
      </c>
      <c r="B250" s="32" t="s">
        <v>292</v>
      </c>
      <c r="C250" s="22">
        <v>3250</v>
      </c>
      <c r="D250" t="s">
        <v>17</v>
      </c>
      <c r="E250" t="s">
        <v>214</v>
      </c>
      <c r="F250" t="s">
        <v>293</v>
      </c>
    </row>
    <row r="251" spans="1:6">
      <c r="A251" s="27">
        <v>45102</v>
      </c>
      <c r="B251" s="32" t="s">
        <v>294</v>
      </c>
      <c r="C251" s="22">
        <v>2000</v>
      </c>
      <c r="D251" t="s">
        <v>17</v>
      </c>
      <c r="E251" t="s">
        <v>40</v>
      </c>
      <c r="F251" t="s">
        <v>295</v>
      </c>
    </row>
    <row r="252" spans="1:6">
      <c r="A252" s="27">
        <v>45101</v>
      </c>
      <c r="B252" s="32" t="s">
        <v>296</v>
      </c>
      <c r="C252" s="22">
        <v>3000</v>
      </c>
      <c r="D252" t="s">
        <v>17</v>
      </c>
      <c r="E252" t="s">
        <v>40</v>
      </c>
      <c r="F252" t="s">
        <v>297</v>
      </c>
    </row>
    <row r="253" spans="1:6">
      <c r="A253" s="27">
        <v>45101</v>
      </c>
      <c r="B253" s="32" t="s">
        <v>296</v>
      </c>
      <c r="C253" s="22">
        <v>5000</v>
      </c>
      <c r="D253" t="s">
        <v>22</v>
      </c>
      <c r="E253" t="s">
        <v>40</v>
      </c>
      <c r="F253" t="s">
        <v>298</v>
      </c>
    </row>
    <row r="254" spans="1:6">
      <c r="A254" s="27">
        <v>45107</v>
      </c>
      <c r="B254" s="32" t="s">
        <v>296</v>
      </c>
      <c r="C254" s="22">
        <v>4000</v>
      </c>
      <c r="D254" t="s">
        <v>17</v>
      </c>
      <c r="E254" t="s">
        <v>40</v>
      </c>
      <c r="F254" t="s">
        <v>299</v>
      </c>
    </row>
    <row r="255" spans="1:6">
      <c r="A255" s="27">
        <v>45113</v>
      </c>
      <c r="B255" s="32" t="s">
        <v>194</v>
      </c>
      <c r="C255" s="22">
        <v>6000</v>
      </c>
      <c r="D255" t="s">
        <v>22</v>
      </c>
      <c r="E255" t="s">
        <v>40</v>
      </c>
    </row>
    <row r="256" spans="1:6">
      <c r="A256" s="27">
        <v>45113</v>
      </c>
      <c r="B256" s="32" t="s">
        <v>257</v>
      </c>
      <c r="C256" s="22">
        <v>5000</v>
      </c>
      <c r="D256" t="s">
        <v>22</v>
      </c>
      <c r="E256" t="s">
        <v>68</v>
      </c>
    </row>
    <row r="257" spans="1:6">
      <c r="A257" s="27">
        <v>45122</v>
      </c>
      <c r="B257" s="32" t="s">
        <v>300</v>
      </c>
      <c r="C257" s="22">
        <v>1200</v>
      </c>
      <c r="D257" t="s">
        <v>17</v>
      </c>
      <c r="E257" t="s">
        <v>301</v>
      </c>
    </row>
    <row r="258" spans="1:6">
      <c r="A258" s="27">
        <v>45129</v>
      </c>
      <c r="B258" s="32" t="s">
        <v>302</v>
      </c>
      <c r="C258" s="22">
        <v>2000</v>
      </c>
      <c r="D258" t="s">
        <v>17</v>
      </c>
      <c r="E258" t="s">
        <v>40</v>
      </c>
    </row>
    <row r="259" spans="1:6">
      <c r="A259" s="27">
        <v>45143</v>
      </c>
      <c r="B259" s="32" t="s">
        <v>303</v>
      </c>
      <c r="C259" s="22">
        <v>2200</v>
      </c>
      <c r="D259" t="s">
        <v>17</v>
      </c>
      <c r="E259" t="s">
        <v>53</v>
      </c>
    </row>
    <row r="260" spans="1:6">
      <c r="A260" s="27">
        <v>45143</v>
      </c>
      <c r="B260" s="32" t="s">
        <v>194</v>
      </c>
      <c r="C260" s="22">
        <v>6000</v>
      </c>
      <c r="D260" t="s">
        <v>22</v>
      </c>
      <c r="E260" t="s">
        <v>40</v>
      </c>
    </row>
    <row r="261" spans="1:6">
      <c r="A261" s="27">
        <v>45143</v>
      </c>
      <c r="B261" s="32" t="s">
        <v>257</v>
      </c>
      <c r="C261" s="22">
        <v>5000</v>
      </c>
      <c r="D261" t="s">
        <v>22</v>
      </c>
      <c r="E261" t="s">
        <v>68</v>
      </c>
    </row>
    <row r="262" spans="1:6">
      <c r="A262" s="27">
        <v>45143</v>
      </c>
      <c r="B262" s="32" t="s">
        <v>304</v>
      </c>
      <c r="C262" s="22">
        <v>1500</v>
      </c>
      <c r="D262" t="s">
        <v>17</v>
      </c>
      <c r="E262" t="s">
        <v>305</v>
      </c>
    </row>
    <row r="263" spans="1:6">
      <c r="A263" s="27">
        <v>45139</v>
      </c>
      <c r="B263" s="32" t="s">
        <v>306</v>
      </c>
      <c r="C263" s="22">
        <v>1000</v>
      </c>
      <c r="D263" t="s">
        <v>22</v>
      </c>
      <c r="E263" t="s">
        <v>64</v>
      </c>
    </row>
    <row r="264" spans="1:6">
      <c r="A264" s="27">
        <v>45157</v>
      </c>
      <c r="B264" s="32" t="s">
        <v>307</v>
      </c>
      <c r="C264" s="22">
        <v>500</v>
      </c>
      <c r="D264" t="s">
        <v>17</v>
      </c>
      <c r="E264" t="s">
        <v>308</v>
      </c>
    </row>
    <row r="265" spans="1:6">
      <c r="A265" s="27">
        <v>45157</v>
      </c>
      <c r="B265" s="32" t="s">
        <v>309</v>
      </c>
      <c r="C265" s="22">
        <v>500</v>
      </c>
      <c r="D265" t="s">
        <v>17</v>
      </c>
      <c r="E265" t="s">
        <v>310</v>
      </c>
    </row>
    <row r="266" spans="1:6">
      <c r="A266" s="27">
        <v>45157</v>
      </c>
      <c r="B266" s="32" t="s">
        <v>311</v>
      </c>
      <c r="C266" s="22">
        <v>250</v>
      </c>
      <c r="D266" t="s">
        <v>17</v>
      </c>
      <c r="E266" t="s">
        <v>312</v>
      </c>
    </row>
    <row r="267" spans="1:6">
      <c r="A267" s="27">
        <v>45164</v>
      </c>
      <c r="B267" s="32" t="s">
        <v>313</v>
      </c>
      <c r="C267" s="22">
        <v>2200</v>
      </c>
      <c r="D267" t="s">
        <v>17</v>
      </c>
      <c r="E267" t="s">
        <v>314</v>
      </c>
    </row>
    <row r="268" spans="1:6">
      <c r="A268" s="27">
        <v>45164</v>
      </c>
      <c r="B268" s="32" t="s">
        <v>311</v>
      </c>
      <c r="C268" s="22">
        <v>200</v>
      </c>
      <c r="D268" t="s">
        <v>17</v>
      </c>
      <c r="E268" t="s">
        <v>315</v>
      </c>
    </row>
    <row r="269" spans="1:6">
      <c r="A269" s="27">
        <v>45164</v>
      </c>
      <c r="B269" s="32" t="s">
        <v>316</v>
      </c>
      <c r="C269" s="22">
        <v>2500</v>
      </c>
      <c r="D269" t="s">
        <v>17</v>
      </c>
      <c r="E269" t="s">
        <v>317</v>
      </c>
      <c r="F269" t="s">
        <v>318</v>
      </c>
    </row>
    <row r="270" spans="1:6">
      <c r="A270" s="27">
        <v>45171</v>
      </c>
      <c r="B270" s="32" t="s">
        <v>319</v>
      </c>
      <c r="C270" s="22">
        <v>1500</v>
      </c>
      <c r="D270" t="s">
        <v>17</v>
      </c>
      <c r="E270" t="s">
        <v>317</v>
      </c>
      <c r="F270" t="s">
        <v>320</v>
      </c>
    </row>
    <row r="271" spans="1:6">
      <c r="A271" s="27">
        <v>45177</v>
      </c>
      <c r="B271" s="32" t="s">
        <v>321</v>
      </c>
      <c r="C271" s="22">
        <v>2000</v>
      </c>
      <c r="D271" t="s">
        <v>17</v>
      </c>
      <c r="E271" t="s">
        <v>322</v>
      </c>
      <c r="F271" t="s">
        <v>323</v>
      </c>
    </row>
    <row r="272" spans="1:6">
      <c r="A272" s="27">
        <v>45179</v>
      </c>
      <c r="B272" s="32" t="s">
        <v>324</v>
      </c>
      <c r="C272" s="22">
        <v>6400</v>
      </c>
      <c r="D272" t="s">
        <v>17</v>
      </c>
      <c r="E272" t="s">
        <v>325</v>
      </c>
      <c r="F272" t="s">
        <v>326</v>
      </c>
    </row>
    <row r="273" spans="1:6">
      <c r="A273" s="27">
        <v>45157</v>
      </c>
      <c r="B273" s="32" t="s">
        <v>327</v>
      </c>
      <c r="C273" s="22">
        <v>2500</v>
      </c>
      <c r="D273" t="s">
        <v>22</v>
      </c>
      <c r="E273" t="s">
        <v>328</v>
      </c>
      <c r="F273" t="s">
        <v>329</v>
      </c>
    </row>
    <row r="274" spans="1:6">
      <c r="A274" s="27">
        <v>45163</v>
      </c>
      <c r="B274" s="32" t="s">
        <v>330</v>
      </c>
      <c r="C274" s="22">
        <v>4400</v>
      </c>
      <c r="D274" t="s">
        <v>22</v>
      </c>
      <c r="E274" t="s">
        <v>331</v>
      </c>
    </row>
    <row r="275" spans="1:6">
      <c r="A275" s="27">
        <v>45178</v>
      </c>
      <c r="B275" s="32" t="s">
        <v>332</v>
      </c>
      <c r="C275" s="22">
        <v>1000</v>
      </c>
      <c r="D275" t="s">
        <v>22</v>
      </c>
      <c r="E275" t="s">
        <v>278</v>
      </c>
    </row>
    <row r="276" spans="1:6">
      <c r="A276" s="27">
        <v>45170</v>
      </c>
      <c r="B276" s="32" t="s">
        <v>333</v>
      </c>
      <c r="C276" s="22">
        <v>2000</v>
      </c>
      <c r="D276" t="s">
        <v>22</v>
      </c>
      <c r="E276" t="s">
        <v>40</v>
      </c>
    </row>
    <row r="277" spans="1:6">
      <c r="A277" s="27">
        <v>45179</v>
      </c>
      <c r="B277" s="32" t="s">
        <v>257</v>
      </c>
      <c r="C277" s="22">
        <v>5000</v>
      </c>
      <c r="D277" t="s">
        <v>22</v>
      </c>
      <c r="E277" t="s">
        <v>68</v>
      </c>
    </row>
    <row r="278" spans="1:6">
      <c r="A278" s="27">
        <v>45170</v>
      </c>
      <c r="B278" s="32" t="s">
        <v>334</v>
      </c>
      <c r="C278" s="22">
        <v>8000</v>
      </c>
      <c r="D278" t="s">
        <v>22</v>
      </c>
      <c r="E278" t="s">
        <v>335</v>
      </c>
    </row>
    <row r="279" spans="1:6">
      <c r="A279" s="27">
        <v>45192</v>
      </c>
      <c r="B279" s="32" t="s">
        <v>336</v>
      </c>
      <c r="C279" s="22">
        <v>500</v>
      </c>
      <c r="D279" t="s">
        <v>17</v>
      </c>
      <c r="E279" t="s">
        <v>312</v>
      </c>
    </row>
    <row r="280" spans="1:6">
      <c r="A280" s="27">
        <v>45193</v>
      </c>
      <c r="B280" s="32" t="s">
        <v>337</v>
      </c>
      <c r="C280" s="22">
        <v>500</v>
      </c>
      <c r="D280" t="s">
        <v>17</v>
      </c>
      <c r="E280" t="s">
        <v>312</v>
      </c>
    </row>
    <row r="281" spans="1:6">
      <c r="A281" s="27">
        <v>45192</v>
      </c>
      <c r="B281" s="32" t="s">
        <v>338</v>
      </c>
      <c r="C281" s="22">
        <v>1500</v>
      </c>
      <c r="D281" t="s">
        <v>22</v>
      </c>
      <c r="E281" t="s">
        <v>53</v>
      </c>
    </row>
    <row r="282" spans="1:6">
      <c r="A282" s="27">
        <v>45193</v>
      </c>
      <c r="B282" s="32" t="s">
        <v>339</v>
      </c>
      <c r="C282" s="22">
        <v>2000</v>
      </c>
      <c r="D282" t="s">
        <v>22</v>
      </c>
      <c r="E282" t="s">
        <v>340</v>
      </c>
    </row>
    <row r="283" spans="1:6">
      <c r="A283" s="27">
        <v>45197</v>
      </c>
      <c r="B283" s="32" t="s">
        <v>321</v>
      </c>
      <c r="C283" s="22">
        <v>2000</v>
      </c>
      <c r="D283" t="s">
        <v>17</v>
      </c>
      <c r="E283" t="s">
        <v>322</v>
      </c>
    </row>
    <row r="284" spans="1:6">
      <c r="A284" s="27">
        <v>45209</v>
      </c>
      <c r="B284" s="32" t="s">
        <v>334</v>
      </c>
      <c r="C284" s="22">
        <v>8000</v>
      </c>
      <c r="D284" t="s">
        <v>22</v>
      </c>
      <c r="E284" t="s">
        <v>335</v>
      </c>
    </row>
    <row r="285" spans="1:6">
      <c r="A285" s="27">
        <v>45213</v>
      </c>
      <c r="B285" s="32" t="s">
        <v>341</v>
      </c>
      <c r="C285" s="22">
        <v>3200</v>
      </c>
      <c r="D285" t="s">
        <v>17</v>
      </c>
      <c r="E285" t="s">
        <v>317</v>
      </c>
    </row>
    <row r="286" spans="1:6">
      <c r="A286" s="27">
        <v>45213</v>
      </c>
      <c r="B286" s="32" t="s">
        <v>342</v>
      </c>
      <c r="C286" s="22">
        <v>600</v>
      </c>
      <c r="D286" t="s">
        <v>17</v>
      </c>
      <c r="E286" t="s">
        <v>317</v>
      </c>
    </row>
    <row r="287" spans="1:6">
      <c r="A287" s="27">
        <v>45214</v>
      </c>
      <c r="B287" s="32" t="s">
        <v>343</v>
      </c>
      <c r="C287" s="22">
        <v>4100</v>
      </c>
      <c r="D287" t="s">
        <v>17</v>
      </c>
      <c r="E287" t="s">
        <v>344</v>
      </c>
    </row>
    <row r="288" spans="1:6">
      <c r="A288" s="27">
        <v>45213</v>
      </c>
      <c r="B288" s="32" t="s">
        <v>257</v>
      </c>
      <c r="C288" s="22">
        <v>5000</v>
      </c>
      <c r="D288" t="s">
        <v>17</v>
      </c>
      <c r="E288" t="s">
        <v>68</v>
      </c>
    </row>
    <row r="289" spans="1:5">
      <c r="A289" s="27">
        <v>45213</v>
      </c>
      <c r="B289" s="32" t="s">
        <v>345</v>
      </c>
      <c r="C289" s="22">
        <v>1000</v>
      </c>
      <c r="D289" t="s">
        <v>17</v>
      </c>
      <c r="E289" t="s">
        <v>40</v>
      </c>
    </row>
    <row r="290" spans="1:5">
      <c r="A290" s="27">
        <v>45209</v>
      </c>
      <c r="B290" s="32" t="s">
        <v>334</v>
      </c>
      <c r="C290" s="22">
        <v>8000</v>
      </c>
      <c r="D290" t="s">
        <v>22</v>
      </c>
      <c r="E290" t="s">
        <v>335</v>
      </c>
    </row>
    <row r="291" spans="1:5">
      <c r="A291" s="27">
        <v>45223</v>
      </c>
      <c r="B291" s="32" t="s">
        <v>346</v>
      </c>
      <c r="C291" s="22">
        <v>3000</v>
      </c>
      <c r="D291" t="s">
        <v>17</v>
      </c>
      <c r="E291" t="s">
        <v>317</v>
      </c>
    </row>
    <row r="292" spans="1:5">
      <c r="A292" s="27">
        <v>45240</v>
      </c>
      <c r="B292" s="32" t="s">
        <v>334</v>
      </c>
      <c r="C292" s="22">
        <v>8000</v>
      </c>
      <c r="D292" t="s">
        <v>22</v>
      </c>
      <c r="E292" t="s">
        <v>335</v>
      </c>
    </row>
    <row r="293" spans="1:5">
      <c r="A293" s="27">
        <v>45240</v>
      </c>
      <c r="B293" s="32" t="s">
        <v>347</v>
      </c>
      <c r="C293" s="22">
        <v>5000</v>
      </c>
      <c r="D293" t="s">
        <v>22</v>
      </c>
      <c r="E293" t="s">
        <v>68</v>
      </c>
    </row>
    <row r="294" spans="1:5">
      <c r="A294" s="27">
        <v>45245</v>
      </c>
      <c r="B294" s="32" t="s">
        <v>348</v>
      </c>
      <c r="C294" s="22">
        <v>1500</v>
      </c>
      <c r="D294" t="s">
        <v>22</v>
      </c>
      <c r="E294" t="s">
        <v>349</v>
      </c>
    </row>
    <row r="295" spans="1:5">
      <c r="A295" s="27">
        <v>45255</v>
      </c>
      <c r="B295" s="32" t="s">
        <v>350</v>
      </c>
      <c r="C295" s="22">
        <v>850</v>
      </c>
      <c r="D295" t="s">
        <v>22</v>
      </c>
      <c r="E295" t="s">
        <v>351</v>
      </c>
    </row>
    <row r="296" spans="1:5">
      <c r="A296" s="27">
        <v>45255</v>
      </c>
      <c r="B296" s="32" t="s">
        <v>352</v>
      </c>
      <c r="C296" s="22">
        <v>2500</v>
      </c>
      <c r="D296" t="s">
        <v>17</v>
      </c>
      <c r="E296" t="s">
        <v>353</v>
      </c>
    </row>
    <row r="297" spans="1:5">
      <c r="A297" s="27">
        <v>45255</v>
      </c>
      <c r="B297" s="32" t="s">
        <v>354</v>
      </c>
      <c r="C297" s="22">
        <v>2500</v>
      </c>
      <c r="D297" t="s">
        <v>17</v>
      </c>
      <c r="E297" t="s">
        <v>355</v>
      </c>
    </row>
    <row r="298" spans="1:5">
      <c r="A298" s="27">
        <v>45268</v>
      </c>
      <c r="B298" s="32" t="s">
        <v>334</v>
      </c>
      <c r="C298" s="22">
        <v>8000</v>
      </c>
      <c r="D298" t="s">
        <v>22</v>
      </c>
      <c r="E298" t="s">
        <v>335</v>
      </c>
    </row>
    <row r="299" spans="1:5">
      <c r="A299" s="27">
        <v>45268</v>
      </c>
      <c r="B299" s="32" t="s">
        <v>347</v>
      </c>
      <c r="C299" s="22">
        <v>5000</v>
      </c>
      <c r="D299" t="s">
        <v>22</v>
      </c>
      <c r="E299" t="s">
        <v>68</v>
      </c>
    </row>
    <row r="300" spans="1:5">
      <c r="A300" s="27">
        <v>45270</v>
      </c>
      <c r="B300" s="32" t="s">
        <v>356</v>
      </c>
      <c r="C300" s="22">
        <v>2000</v>
      </c>
      <c r="D300" t="s">
        <v>17</v>
      </c>
      <c r="E300" t="s">
        <v>40</v>
      </c>
    </row>
    <row r="301" spans="1:5">
      <c r="A301" s="27">
        <v>45255</v>
      </c>
      <c r="B301" s="32" t="s">
        <v>357</v>
      </c>
      <c r="C301" s="22">
        <v>2500</v>
      </c>
      <c r="D301" t="s">
        <v>17</v>
      </c>
      <c r="E301" t="s">
        <v>355</v>
      </c>
    </row>
    <row r="302" spans="1:5">
      <c r="A302" s="27">
        <v>45280</v>
      </c>
      <c r="B302" s="32" t="s">
        <v>40</v>
      </c>
      <c r="C302" s="22">
        <v>2500</v>
      </c>
      <c r="D302" t="s">
        <v>17</v>
      </c>
      <c r="E302" t="s">
        <v>358</v>
      </c>
    </row>
    <row r="303" spans="1:5">
      <c r="A303" s="27">
        <v>45286</v>
      </c>
      <c r="B303" s="32" t="s">
        <v>40</v>
      </c>
      <c r="C303" s="22">
        <v>3000</v>
      </c>
      <c r="D303" t="s">
        <v>17</v>
      </c>
      <c r="E303" t="s">
        <v>359</v>
      </c>
    </row>
    <row r="304" spans="1:5">
      <c r="A304" s="27">
        <v>45299</v>
      </c>
      <c r="B304" s="32" t="s">
        <v>334</v>
      </c>
      <c r="C304" s="22">
        <v>8000</v>
      </c>
      <c r="D304" t="s">
        <v>22</v>
      </c>
      <c r="E304" t="s">
        <v>335</v>
      </c>
    </row>
    <row r="305" spans="1:5">
      <c r="A305" s="27">
        <v>45299</v>
      </c>
      <c r="B305" s="32" t="s">
        <v>347</v>
      </c>
      <c r="C305" s="22">
        <v>5000</v>
      </c>
      <c r="D305" t="s">
        <v>22</v>
      </c>
      <c r="E305" t="s">
        <v>68</v>
      </c>
    </row>
    <row r="306" spans="1:5">
      <c r="A306" s="27">
        <v>45654</v>
      </c>
      <c r="B306" s="32" t="s">
        <v>338</v>
      </c>
      <c r="C306" s="22">
        <v>2000</v>
      </c>
      <c r="D306" t="s">
        <v>22</v>
      </c>
      <c r="E306" t="s">
        <v>53</v>
      </c>
    </row>
    <row r="307" spans="1:5">
      <c r="A307" s="27">
        <v>45654</v>
      </c>
      <c r="B307" s="32" t="s">
        <v>333</v>
      </c>
      <c r="C307" s="22">
        <v>1000</v>
      </c>
      <c r="D307" t="s">
        <v>22</v>
      </c>
      <c r="E307" t="s">
        <v>40</v>
      </c>
    </row>
    <row r="308" spans="1:5">
      <c r="A308" s="27">
        <v>45301</v>
      </c>
      <c r="B308" s="32" t="s">
        <v>338</v>
      </c>
      <c r="C308" s="22">
        <v>2000</v>
      </c>
      <c r="D308" t="s">
        <v>17</v>
      </c>
      <c r="E308" t="s">
        <v>53</v>
      </c>
    </row>
    <row r="309" spans="1:5">
      <c r="A309" s="27">
        <v>45349</v>
      </c>
      <c r="B309" s="32" t="s">
        <v>338</v>
      </c>
      <c r="C309" s="22">
        <v>2000</v>
      </c>
      <c r="D309" t="s">
        <v>17</v>
      </c>
      <c r="E309" t="s">
        <v>53</v>
      </c>
    </row>
    <row r="310" spans="1:5">
      <c r="A310" s="27">
        <v>45349</v>
      </c>
      <c r="B310" s="32" t="s">
        <v>40</v>
      </c>
      <c r="C310" s="22">
        <v>500</v>
      </c>
      <c r="D310" t="s">
        <v>17</v>
      </c>
      <c r="E310" t="s">
        <v>360</v>
      </c>
    </row>
    <row r="311" spans="1:5">
      <c r="A311" s="27">
        <v>45330</v>
      </c>
      <c r="B311" s="32" t="s">
        <v>334</v>
      </c>
      <c r="C311" s="22">
        <v>8000</v>
      </c>
      <c r="D311" t="s">
        <v>22</v>
      </c>
      <c r="E311" t="s">
        <v>335</v>
      </c>
    </row>
    <row r="312" spans="1:5">
      <c r="A312" s="27">
        <v>45359</v>
      </c>
      <c r="B312" s="32" t="s">
        <v>334</v>
      </c>
      <c r="C312" s="22">
        <v>8000</v>
      </c>
      <c r="D312" t="s">
        <v>22</v>
      </c>
      <c r="E312" t="s">
        <v>335</v>
      </c>
    </row>
    <row r="313" spans="1:5">
      <c r="A313" s="27">
        <v>45359</v>
      </c>
      <c r="B313" s="32" t="s">
        <v>40</v>
      </c>
      <c r="C313" s="22">
        <v>500</v>
      </c>
      <c r="D313" t="s">
        <v>22</v>
      </c>
      <c r="E313" t="s">
        <v>40</v>
      </c>
    </row>
    <row r="314" spans="1:5">
      <c r="A314" s="27">
        <v>45359</v>
      </c>
      <c r="B314" s="32" t="s">
        <v>338</v>
      </c>
      <c r="C314" s="22">
        <v>1500</v>
      </c>
      <c r="D314" t="s">
        <v>22</v>
      </c>
      <c r="E314" t="s">
        <v>53</v>
      </c>
    </row>
    <row r="315" spans="1:5">
      <c r="A315" s="27">
        <v>45376</v>
      </c>
      <c r="B315" s="32" t="s">
        <v>361</v>
      </c>
      <c r="C315" s="22">
        <v>6000</v>
      </c>
      <c r="D315" t="s">
        <v>17</v>
      </c>
      <c r="E315" t="s">
        <v>362</v>
      </c>
    </row>
    <row r="316" spans="1:5">
      <c r="A316" s="27">
        <v>45376</v>
      </c>
      <c r="B316" s="32" t="s">
        <v>194</v>
      </c>
      <c r="C316" s="22">
        <v>8000</v>
      </c>
      <c r="D316" t="s">
        <v>17</v>
      </c>
      <c r="E316" t="s">
        <v>194</v>
      </c>
    </row>
    <row r="317" spans="1:5">
      <c r="A317" s="27">
        <v>45359</v>
      </c>
      <c r="B317" s="32" t="s">
        <v>338</v>
      </c>
      <c r="C317" s="22">
        <v>2500</v>
      </c>
      <c r="D317" t="s">
        <v>22</v>
      </c>
      <c r="E317" t="s">
        <v>53</v>
      </c>
    </row>
    <row r="318" spans="1:5">
      <c r="A318" s="27">
        <v>45359</v>
      </c>
      <c r="B318" s="32" t="s">
        <v>363</v>
      </c>
      <c r="C318" s="22">
        <v>500</v>
      </c>
      <c r="D318" t="s">
        <v>17</v>
      </c>
      <c r="E318" t="s">
        <v>53</v>
      </c>
    </row>
    <row r="319" spans="1:5">
      <c r="A319" s="27">
        <v>45413</v>
      </c>
      <c r="B319" s="32" t="s">
        <v>364</v>
      </c>
      <c r="C319" s="22">
        <v>26000</v>
      </c>
      <c r="D319" t="s">
        <v>17</v>
      </c>
      <c r="E319" t="s">
        <v>365</v>
      </c>
    </row>
    <row r="320" spans="1:5">
      <c r="A320" s="27">
        <v>45415</v>
      </c>
      <c r="B320" s="32" t="s">
        <v>366</v>
      </c>
      <c r="C320" s="22">
        <v>3000</v>
      </c>
      <c r="D320" t="s">
        <v>17</v>
      </c>
      <c r="E320" t="s">
        <v>367</v>
      </c>
    </row>
    <row r="321" spans="1:5">
      <c r="A321" s="27">
        <v>45420</v>
      </c>
      <c r="B321" s="32" t="s">
        <v>334</v>
      </c>
      <c r="C321" s="22">
        <v>9000</v>
      </c>
      <c r="D321" t="s">
        <v>22</v>
      </c>
      <c r="E321" t="s">
        <v>368</v>
      </c>
    </row>
    <row r="322" spans="1:5">
      <c r="A322" s="27">
        <v>45425</v>
      </c>
      <c r="B322" s="32" t="s">
        <v>333</v>
      </c>
      <c r="C322" s="22">
        <v>2000</v>
      </c>
      <c r="D322" t="s">
        <v>210</v>
      </c>
      <c r="E322" t="s">
        <v>369</v>
      </c>
    </row>
    <row r="323" spans="1:5">
      <c r="A323" s="27">
        <v>45426</v>
      </c>
      <c r="B323" s="32" t="s">
        <v>333</v>
      </c>
      <c r="C323" s="22">
        <v>2000</v>
      </c>
      <c r="D323" t="s">
        <v>210</v>
      </c>
      <c r="E323" t="s">
        <v>369</v>
      </c>
    </row>
    <row r="324" spans="1:5">
      <c r="A324" s="27">
        <v>45454</v>
      </c>
      <c r="B324" s="32" t="s">
        <v>370</v>
      </c>
      <c r="C324" s="22">
        <v>22000</v>
      </c>
      <c r="D324" t="s">
        <v>22</v>
      </c>
      <c r="E324" t="s">
        <v>370</v>
      </c>
    </row>
    <row r="325" spans="1:5">
      <c r="A325" s="27">
        <v>45461</v>
      </c>
      <c r="B325" s="32" t="s">
        <v>194</v>
      </c>
      <c r="C325" s="22">
        <v>8000</v>
      </c>
      <c r="D325" t="s">
        <v>17</v>
      </c>
      <c r="E325" t="s">
        <v>194</v>
      </c>
    </row>
    <row r="326" spans="1:5">
      <c r="A326" s="27">
        <v>45484</v>
      </c>
      <c r="B326" s="32" t="s">
        <v>194</v>
      </c>
      <c r="C326" s="22">
        <v>8000</v>
      </c>
      <c r="D326" t="s">
        <v>22</v>
      </c>
      <c r="E326" t="s">
        <v>194</v>
      </c>
    </row>
    <row r="327" spans="1:5">
      <c r="A327" s="27">
        <v>45484</v>
      </c>
      <c r="B327" s="32" t="s">
        <v>371</v>
      </c>
      <c r="C327" s="22">
        <v>30000</v>
      </c>
      <c r="D327" t="s">
        <v>22</v>
      </c>
      <c r="E327" t="s">
        <v>370</v>
      </c>
    </row>
    <row r="328" spans="1:5">
      <c r="A328" s="27">
        <v>45496</v>
      </c>
      <c r="B328" s="32" t="s">
        <v>372</v>
      </c>
      <c r="C328" s="22">
        <v>10000</v>
      </c>
      <c r="D328" t="s">
        <v>17</v>
      </c>
      <c r="E328" t="s">
        <v>370</v>
      </c>
    </row>
    <row r="329" spans="1:5">
      <c r="A329" s="27">
        <v>45516</v>
      </c>
      <c r="B329" s="32" t="s">
        <v>194</v>
      </c>
      <c r="C329" s="22">
        <v>8000</v>
      </c>
      <c r="D329" t="s">
        <v>17</v>
      </c>
      <c r="E329" t="s">
        <v>373</v>
      </c>
    </row>
    <row r="330" spans="1:5">
      <c r="A330" s="27">
        <v>45515</v>
      </c>
      <c r="B330" s="32" t="s">
        <v>374</v>
      </c>
      <c r="C330" s="22">
        <v>3000</v>
      </c>
      <c r="D330" t="s">
        <v>17</v>
      </c>
      <c r="E330" t="s">
        <v>374</v>
      </c>
    </row>
    <row r="331" spans="1:5">
      <c r="A331" s="27">
        <v>45539</v>
      </c>
      <c r="B331" s="32" t="s">
        <v>375</v>
      </c>
      <c r="C331" s="22">
        <v>7500</v>
      </c>
      <c r="D331" t="s">
        <v>17</v>
      </c>
      <c r="E331" t="s">
        <v>376</v>
      </c>
    </row>
    <row r="332" spans="1:5">
      <c r="A332" s="27">
        <v>45551</v>
      </c>
      <c r="B332" s="32" t="s">
        <v>194</v>
      </c>
      <c r="C332" s="22">
        <v>8000</v>
      </c>
      <c r="D332" t="s">
        <v>17</v>
      </c>
      <c r="E332" t="s">
        <v>377</v>
      </c>
    </row>
    <row r="333" spans="1:5">
      <c r="A333" s="27">
        <v>45536</v>
      </c>
      <c r="B333" s="32" t="s">
        <v>333</v>
      </c>
      <c r="C333" s="22">
        <v>2000</v>
      </c>
      <c r="D333" t="s">
        <v>22</v>
      </c>
      <c r="E333" t="s">
        <v>305</v>
      </c>
    </row>
    <row r="334" spans="1:5">
      <c r="A334" s="27">
        <v>45545</v>
      </c>
      <c r="B334" s="32" t="s">
        <v>378</v>
      </c>
      <c r="C334" s="22">
        <v>12000</v>
      </c>
      <c r="D334" t="s">
        <v>22</v>
      </c>
      <c r="E334" t="s">
        <v>379</v>
      </c>
    </row>
    <row r="335" spans="1:5">
      <c r="A335" s="27">
        <v>45576</v>
      </c>
      <c r="B335" s="32" t="s">
        <v>194</v>
      </c>
      <c r="C335" s="22">
        <v>8000</v>
      </c>
      <c r="D335" t="s">
        <v>17</v>
      </c>
      <c r="E335" t="s">
        <v>380</v>
      </c>
    </row>
    <row r="336" spans="1:5">
      <c r="A336" s="27">
        <v>45607</v>
      </c>
      <c r="B336" s="32" t="s">
        <v>194</v>
      </c>
      <c r="C336" s="22">
        <v>8000</v>
      </c>
      <c r="D336" t="s">
        <v>17</v>
      </c>
      <c r="E336" t="s">
        <v>381</v>
      </c>
    </row>
    <row r="337" spans="1:5">
      <c r="A337" s="27">
        <v>45607</v>
      </c>
      <c r="B337" s="32" t="s">
        <v>382</v>
      </c>
      <c r="C337" s="22">
        <v>40000</v>
      </c>
      <c r="D337" t="s">
        <v>17</v>
      </c>
      <c r="E337" t="s">
        <v>279</v>
      </c>
    </row>
    <row r="338" spans="1:5">
      <c r="A338" s="27">
        <v>45637</v>
      </c>
      <c r="B338" s="32" t="s">
        <v>194</v>
      </c>
      <c r="C338" s="22">
        <v>8000</v>
      </c>
      <c r="D338" t="s">
        <v>22</v>
      </c>
      <c r="E338" t="s">
        <v>380</v>
      </c>
    </row>
    <row r="339" spans="1:5">
      <c r="A339" s="27">
        <v>45630</v>
      </c>
      <c r="B339" s="32" t="s">
        <v>383</v>
      </c>
      <c r="C339" s="22">
        <v>3000</v>
      </c>
      <c r="D339" t="s">
        <v>22</v>
      </c>
      <c r="E339" t="s">
        <v>376</v>
      </c>
    </row>
    <row r="340" spans="1:5">
      <c r="A340" s="27">
        <v>45669</v>
      </c>
      <c r="B340" s="32" t="s">
        <v>384</v>
      </c>
      <c r="C340" s="22">
        <v>3000</v>
      </c>
      <c r="D340" t="s">
        <v>22</v>
      </c>
      <c r="E340" t="s">
        <v>385</v>
      </c>
    </row>
    <row r="341" spans="1:5">
      <c r="A341" s="27">
        <v>45668</v>
      </c>
      <c r="B341" s="32" t="s">
        <v>194</v>
      </c>
      <c r="C341" s="22">
        <v>8000</v>
      </c>
      <c r="D341" t="s">
        <v>22</v>
      </c>
      <c r="E341" t="s">
        <v>380</v>
      </c>
    </row>
    <row r="342" spans="1:5">
      <c r="A342" s="27">
        <v>45667</v>
      </c>
      <c r="B342" s="32" t="s">
        <v>378</v>
      </c>
      <c r="C342" s="22">
        <v>3000</v>
      </c>
      <c r="D342" t="s">
        <v>22</v>
      </c>
      <c r="E342" t="s">
        <v>386</v>
      </c>
    </row>
    <row r="343" spans="1:5">
      <c r="A343" s="27">
        <v>45690</v>
      </c>
      <c r="B343" s="32" t="s">
        <v>338</v>
      </c>
      <c r="C343" s="22">
        <v>1500</v>
      </c>
      <c r="D343" t="s">
        <v>22</v>
      </c>
      <c r="E343" t="s">
        <v>387</v>
      </c>
    </row>
    <row r="344" spans="1:5">
      <c r="A344" s="27">
        <v>45698</v>
      </c>
      <c r="B344" s="32" t="s">
        <v>388</v>
      </c>
      <c r="C344" s="22">
        <v>10000</v>
      </c>
      <c r="D344" t="s">
        <v>17</v>
      </c>
      <c r="E344" s="32" t="s">
        <v>388</v>
      </c>
    </row>
    <row r="345" spans="1:5">
      <c r="A345" s="27">
        <v>45727</v>
      </c>
      <c r="B345" s="32" t="s">
        <v>194</v>
      </c>
      <c r="C345" s="22">
        <v>8000</v>
      </c>
      <c r="D345" t="s">
        <v>22</v>
      </c>
      <c r="E345" t="s">
        <v>380</v>
      </c>
    </row>
    <row r="346" spans="1:5">
      <c r="A346" s="27">
        <v>45731</v>
      </c>
      <c r="B346" s="32" t="s">
        <v>389</v>
      </c>
      <c r="C346" s="22">
        <v>7500</v>
      </c>
      <c r="D346" t="s">
        <v>17</v>
      </c>
      <c r="E346" t="s">
        <v>376</v>
      </c>
    </row>
    <row r="347" spans="1:5">
      <c r="A347" s="27">
        <v>45758</v>
      </c>
      <c r="B347" s="32" t="s">
        <v>194</v>
      </c>
      <c r="C347" s="22">
        <v>8000</v>
      </c>
      <c r="D347" t="s">
        <v>22</v>
      </c>
      <c r="E347" t="s">
        <v>380</v>
      </c>
    </row>
    <row r="348" spans="1:5">
      <c r="A348" s="27">
        <v>45758</v>
      </c>
      <c r="B348" s="32" t="s">
        <v>390</v>
      </c>
      <c r="C348" s="22">
        <v>1500</v>
      </c>
      <c r="D348" t="s">
        <v>22</v>
      </c>
      <c r="E348" t="s">
        <v>380</v>
      </c>
    </row>
    <row r="349" spans="1:5">
      <c r="A349" s="27">
        <v>45767</v>
      </c>
      <c r="B349" s="32" t="s">
        <v>338</v>
      </c>
      <c r="C349" s="22">
        <v>1500</v>
      </c>
      <c r="D349" t="s">
        <v>22</v>
      </c>
      <c r="E349" t="s">
        <v>387</v>
      </c>
    </row>
    <row r="350" spans="1:5">
      <c r="A350" s="27">
        <v>45777</v>
      </c>
      <c r="B350" s="32" t="s">
        <v>338</v>
      </c>
      <c r="C350" s="22">
        <v>1500</v>
      </c>
      <c r="D350" t="s">
        <v>22</v>
      </c>
      <c r="E350" t="s">
        <v>387</v>
      </c>
    </row>
    <row r="351" spans="1:5">
      <c r="A351" s="27">
        <v>45782</v>
      </c>
      <c r="B351" s="32" t="s">
        <v>194</v>
      </c>
      <c r="C351" s="22">
        <v>8000</v>
      </c>
      <c r="D351" t="s">
        <v>22</v>
      </c>
      <c r="E351" t="s">
        <v>380</v>
      </c>
    </row>
    <row r="352" spans="1:5">
      <c r="A352" s="27">
        <v>45788</v>
      </c>
      <c r="B352" s="32" t="s">
        <v>338</v>
      </c>
      <c r="C352" s="22">
        <v>1500</v>
      </c>
      <c r="D352" t="s">
        <v>17</v>
      </c>
      <c r="E352" t="s">
        <v>387</v>
      </c>
    </row>
    <row r="353" spans="1:5">
      <c r="A353" s="27">
        <v>45788</v>
      </c>
      <c r="B353" s="32" t="s">
        <v>391</v>
      </c>
      <c r="C353" s="22">
        <v>6000</v>
      </c>
      <c r="D353" t="s">
        <v>17</v>
      </c>
      <c r="E353" s="32" t="s">
        <v>392</v>
      </c>
    </row>
    <row r="354" spans="1:5">
      <c r="A354" s="27">
        <v>45816</v>
      </c>
      <c r="B354" s="32" t="s">
        <v>375</v>
      </c>
      <c r="C354" s="22">
        <v>3000</v>
      </c>
      <c r="D354" t="s">
        <v>22</v>
      </c>
      <c r="E354" s="32" t="s">
        <v>392</v>
      </c>
    </row>
    <row r="355" spans="1:5">
      <c r="A355" s="27">
        <v>45816</v>
      </c>
      <c r="B355" s="32" t="s">
        <v>194</v>
      </c>
      <c r="C355" s="22">
        <v>8000</v>
      </c>
      <c r="D355" t="s">
        <v>17</v>
      </c>
      <c r="E355" s="32" t="s">
        <v>335</v>
      </c>
    </row>
    <row r="356" spans="1:5">
      <c r="A356" s="27">
        <v>45846</v>
      </c>
      <c r="B356" s="32" t="s">
        <v>375</v>
      </c>
      <c r="C356" s="22">
        <v>8500</v>
      </c>
      <c r="D356" t="s">
        <v>22</v>
      </c>
      <c r="E356" s="32" t="s">
        <v>392</v>
      </c>
    </row>
    <row r="357" spans="1:5">
      <c r="A357" s="27">
        <v>45846</v>
      </c>
      <c r="B357" s="32" t="s">
        <v>194</v>
      </c>
      <c r="C357" s="22">
        <v>8000</v>
      </c>
      <c r="D357" t="s">
        <v>17</v>
      </c>
      <c r="E357" s="32" t="s">
        <v>335</v>
      </c>
    </row>
    <row r="358" spans="1:5">
      <c r="A358" s="27">
        <v>45877</v>
      </c>
      <c r="B358" s="32" t="s">
        <v>194</v>
      </c>
      <c r="C358" s="22">
        <v>8000</v>
      </c>
      <c r="D358" t="s">
        <v>17</v>
      </c>
      <c r="E358" s="32" t="s">
        <v>335</v>
      </c>
    </row>
    <row r="359" spans="1:5">
      <c r="A359" s="27">
        <v>45884</v>
      </c>
      <c r="B359" s="32" t="s">
        <v>393</v>
      </c>
      <c r="C359" s="22">
        <v>3000</v>
      </c>
      <c r="D359" t="s">
        <v>22</v>
      </c>
      <c r="E359" s="32" t="s">
        <v>394</v>
      </c>
    </row>
    <row r="360" spans="1:5">
      <c r="A360" s="27">
        <v>45908</v>
      </c>
      <c r="B360" s="32" t="s">
        <v>194</v>
      </c>
      <c r="C360" s="22">
        <v>8000</v>
      </c>
      <c r="D360" t="s">
        <v>17</v>
      </c>
      <c r="E360" s="32" t="s">
        <v>335</v>
      </c>
    </row>
    <row r="361" spans="1:5">
      <c r="A361" s="27">
        <v>45938</v>
      </c>
      <c r="B361" s="32" t="s">
        <v>194</v>
      </c>
      <c r="C361" s="22">
        <v>8000</v>
      </c>
      <c r="D361" t="s">
        <v>22</v>
      </c>
      <c r="E361" s="32" t="s">
        <v>335</v>
      </c>
    </row>
    <row r="362" spans="1:5">
      <c r="A362" s="27">
        <v>45941</v>
      </c>
      <c r="B362" s="32" t="s">
        <v>395</v>
      </c>
      <c r="C362" s="22">
        <v>5000</v>
      </c>
      <c r="D362" t="s">
        <v>22</v>
      </c>
      <c r="E362" t="s">
        <v>387</v>
      </c>
    </row>
    <row r="363" spans="1:5">
      <c r="A363" s="27">
        <v>45962</v>
      </c>
      <c r="B363" s="32" t="s">
        <v>393</v>
      </c>
      <c r="C363" s="22">
        <v>3000</v>
      </c>
      <c r="D363" t="s">
        <v>22</v>
      </c>
      <c r="E363" s="32" t="s">
        <v>394</v>
      </c>
    </row>
    <row r="364" spans="1:5">
      <c r="A364" s="27">
        <v>45969</v>
      </c>
      <c r="B364" s="32" t="s">
        <v>194</v>
      </c>
      <c r="C364" s="22">
        <v>4000</v>
      </c>
      <c r="D364" t="s">
        <v>22</v>
      </c>
      <c r="E364" s="32" t="s">
        <v>335</v>
      </c>
    </row>
    <row r="365" spans="1:5">
      <c r="A365" s="27">
        <v>45969</v>
      </c>
      <c r="B365" s="32" t="s">
        <v>396</v>
      </c>
      <c r="C365" s="22">
        <v>9000</v>
      </c>
      <c r="D365" t="s">
        <v>22</v>
      </c>
      <c r="E365" s="32" t="s">
        <v>394</v>
      </c>
    </row>
    <row r="366" spans="1:5">
      <c r="A366" s="27">
        <v>45969</v>
      </c>
      <c r="B366" s="32" t="s">
        <v>194</v>
      </c>
      <c r="C366" s="22">
        <v>4000</v>
      </c>
      <c r="D366" t="s">
        <v>17</v>
      </c>
      <c r="E366" s="32" t="s">
        <v>335</v>
      </c>
    </row>
    <row r="367" spans="1:5">
      <c r="A367" s="27">
        <v>45969</v>
      </c>
      <c r="B367" s="32" t="s">
        <v>396</v>
      </c>
      <c r="C367" s="22">
        <v>9000</v>
      </c>
      <c r="D367" t="s">
        <v>17</v>
      </c>
      <c r="E367" s="32" t="s">
        <v>394</v>
      </c>
    </row>
    <row r="368" spans="1:5">
      <c r="A368" s="27">
        <v>45997</v>
      </c>
      <c r="B368" s="32" t="s">
        <v>338</v>
      </c>
      <c r="C368" s="22">
        <v>2000</v>
      </c>
      <c r="D368" t="s">
        <v>22</v>
      </c>
    </row>
    <row r="369" spans="1:5">
      <c r="A369" s="27">
        <v>45997</v>
      </c>
      <c r="B369" s="32" t="s">
        <v>397</v>
      </c>
      <c r="C369" s="22">
        <v>58000</v>
      </c>
      <c r="D369" t="s">
        <v>22</v>
      </c>
    </row>
    <row r="370" spans="1:5">
      <c r="A370" s="27">
        <v>45997</v>
      </c>
      <c r="B370" s="32" t="s">
        <v>397</v>
      </c>
      <c r="C370" s="22">
        <v>55000</v>
      </c>
      <c r="D370" t="s">
        <v>17</v>
      </c>
    </row>
    <row r="371" spans="1:5">
      <c r="A371" s="27">
        <v>46001</v>
      </c>
      <c r="B371" s="32" t="s">
        <v>194</v>
      </c>
      <c r="C371" s="22">
        <v>8000</v>
      </c>
      <c r="D371" t="s">
        <v>22</v>
      </c>
      <c r="E371" s="32" t="s">
        <v>335</v>
      </c>
    </row>
    <row r="372" spans="1:5">
      <c r="A372" s="27">
        <v>46016</v>
      </c>
      <c r="B372" s="32" t="s">
        <v>338</v>
      </c>
      <c r="C372" s="22">
        <v>2000</v>
      </c>
      <c r="D372" t="s">
        <v>22</v>
      </c>
    </row>
    <row r="373" spans="1:5">
      <c r="A373" s="27">
        <v>46021</v>
      </c>
      <c r="B373" s="32" t="s">
        <v>398</v>
      </c>
      <c r="C373" s="22">
        <v>11750</v>
      </c>
      <c r="D373" t="s">
        <v>22</v>
      </c>
    </row>
    <row r="374" spans="1:5">
      <c r="A374" s="27">
        <v>46032</v>
      </c>
      <c r="B374" s="32" t="s">
        <v>194</v>
      </c>
      <c r="C374" s="22">
        <v>8000</v>
      </c>
      <c r="D374" t="s">
        <v>17</v>
      </c>
      <c r="E374" s="32" t="s">
        <v>335</v>
      </c>
    </row>
    <row r="375" spans="1:5">
      <c r="A375" s="27">
        <v>46038</v>
      </c>
      <c r="B375" s="32" t="s">
        <v>396</v>
      </c>
      <c r="C375" s="22">
        <v>10000</v>
      </c>
      <c r="D375" t="s">
        <v>17</v>
      </c>
      <c r="E375" s="32" t="s">
        <v>394</v>
      </c>
    </row>
    <row r="376" spans="1:5">
      <c r="A376" s="27">
        <v>46050</v>
      </c>
      <c r="B376" s="32" t="s">
        <v>399</v>
      </c>
      <c r="C376" s="22">
        <v>5000</v>
      </c>
      <c r="D376" t="s">
        <v>22</v>
      </c>
    </row>
    <row r="377" spans="1:5">
      <c r="A377" s="27">
        <v>46063</v>
      </c>
      <c r="B377" s="32" t="s">
        <v>194</v>
      </c>
      <c r="C377" s="22">
        <v>8000</v>
      </c>
      <c r="D377" t="s">
        <v>22</v>
      </c>
      <c r="E377" s="32" t="s">
        <v>335</v>
      </c>
    </row>
    <row r="378" spans="1:5">
      <c r="A378" s="27">
        <v>46089</v>
      </c>
      <c r="B378" s="32" t="s">
        <v>194</v>
      </c>
      <c r="C378" s="22">
        <v>8000</v>
      </c>
      <c r="D378" t="s">
        <v>22</v>
      </c>
      <c r="E378" s="32" t="s">
        <v>335</v>
      </c>
    </row>
    <row r="379" spans="1:5">
      <c r="A379" s="27">
        <v>46089</v>
      </c>
      <c r="B379" s="32" t="s">
        <v>400</v>
      </c>
      <c r="C379" s="22">
        <v>8000</v>
      </c>
      <c r="D379" t="s">
        <v>17</v>
      </c>
      <c r="E379" s="32" t="s">
        <v>335</v>
      </c>
    </row>
    <row r="380" spans="1:5">
      <c r="A380" s="27">
        <v>46095</v>
      </c>
      <c r="B380" s="32" t="s">
        <v>401</v>
      </c>
      <c r="C380" s="22">
        <v>1000</v>
      </c>
      <c r="D380" t="s">
        <v>22</v>
      </c>
      <c r="E380" s="32"/>
    </row>
    <row r="381" spans="1:5">
      <c r="A381" s="27">
        <v>46106</v>
      </c>
      <c r="B381" s="32" t="s">
        <v>402</v>
      </c>
      <c r="C381" s="22">
        <v>4000</v>
      </c>
      <c r="D381" t="s">
        <v>22</v>
      </c>
      <c r="E381" s="32"/>
    </row>
    <row r="382" spans="1:5">
      <c r="A382" s="27">
        <v>46106</v>
      </c>
      <c r="B382" s="32" t="s">
        <v>403</v>
      </c>
      <c r="C382" s="22">
        <v>5000</v>
      </c>
      <c r="D382" t="s">
        <v>22</v>
      </c>
      <c r="E382" s="32"/>
    </row>
    <row r="383" spans="1:5">
      <c r="A383" s="27">
        <v>46120</v>
      </c>
      <c r="B383" s="32" t="s">
        <v>404</v>
      </c>
      <c r="C383" s="22">
        <v>16000</v>
      </c>
      <c r="D383" t="s">
        <v>17</v>
      </c>
      <c r="E383" s="32"/>
    </row>
    <row r="384" spans="1:5">
      <c r="A384" s="27">
        <v>46140</v>
      </c>
      <c r="B384" s="32" t="s">
        <v>405</v>
      </c>
      <c r="C384" s="22">
        <v>2000</v>
      </c>
      <c r="D384" t="s">
        <v>17</v>
      </c>
    </row>
    <row r="385" spans="1:5">
      <c r="A385" s="27">
        <v>46145</v>
      </c>
      <c r="B385" s="32" t="s">
        <v>406</v>
      </c>
      <c r="C385" s="22">
        <v>6500</v>
      </c>
      <c r="D385" t="s">
        <v>22</v>
      </c>
    </row>
    <row r="386" spans="1:5">
      <c r="A386" s="27">
        <v>46167</v>
      </c>
      <c r="B386" s="32" t="s">
        <v>280</v>
      </c>
      <c r="C386" s="22">
        <v>20000</v>
      </c>
      <c r="D386" t="s">
        <v>22</v>
      </c>
    </row>
    <row r="387" spans="1:5">
      <c r="A387" s="27">
        <v>46167</v>
      </c>
      <c r="B387" s="32" t="s">
        <v>280</v>
      </c>
      <c r="C387" s="22">
        <v>20000</v>
      </c>
      <c r="D387" t="s">
        <v>17</v>
      </c>
    </row>
    <row r="388" spans="1:5">
      <c r="A388" s="27">
        <v>46184</v>
      </c>
      <c r="B388" s="32" t="s">
        <v>194</v>
      </c>
      <c r="C388" s="22">
        <v>8000</v>
      </c>
      <c r="D388" t="s">
        <v>17</v>
      </c>
      <c r="E388" s="32" t="s">
        <v>335</v>
      </c>
    </row>
    <row r="389" spans="1:5">
      <c r="A389" s="27">
        <v>46188</v>
      </c>
      <c r="B389" s="32" t="s">
        <v>407</v>
      </c>
      <c r="C389" s="22">
        <v>25000</v>
      </c>
      <c r="D389" t="s">
        <v>22</v>
      </c>
      <c r="E389" s="32"/>
    </row>
    <row r="390" spans="1:5">
      <c r="A390" s="27">
        <v>46188</v>
      </c>
      <c r="B390" s="32" t="s">
        <v>407</v>
      </c>
      <c r="C390" s="22">
        <v>20000</v>
      </c>
      <c r="D390" t="s">
        <v>17</v>
      </c>
      <c r="E390" s="32"/>
    </row>
    <row r="391" spans="1:5">
      <c r="A391" s="27">
        <v>46211</v>
      </c>
      <c r="B391" s="32" t="s">
        <v>194</v>
      </c>
      <c r="C391" s="22">
        <v>8000</v>
      </c>
      <c r="D391" t="s">
        <v>17</v>
      </c>
      <c r="E391" s="32" t="s">
        <v>335</v>
      </c>
    </row>
    <row r="392" spans="1:5">
      <c r="A392" s="27">
        <v>46223</v>
      </c>
      <c r="B392" s="32" t="s">
        <v>408</v>
      </c>
      <c r="C392" s="22">
        <v>7000</v>
      </c>
      <c r="D392" t="s">
        <v>22</v>
      </c>
    </row>
    <row r="393" spans="1:5">
      <c r="A393" s="27">
        <v>46224</v>
      </c>
      <c r="B393" s="32" t="s">
        <v>409</v>
      </c>
      <c r="C393" s="22">
        <v>5000</v>
      </c>
      <c r="D393" t="s">
        <v>22</v>
      </c>
    </row>
    <row r="394" spans="1:5">
      <c r="A394" s="27">
        <v>46225</v>
      </c>
      <c r="B394" s="32" t="s">
        <v>410</v>
      </c>
      <c r="C394" s="22">
        <v>2000</v>
      </c>
      <c r="D394" t="s">
        <v>22</v>
      </c>
    </row>
    <row r="395" spans="1:5">
      <c r="A395" s="27">
        <v>46233</v>
      </c>
      <c r="B395" s="32" t="s">
        <v>411</v>
      </c>
      <c r="C395" s="22">
        <v>6000</v>
      </c>
      <c r="D395" t="s">
        <v>22</v>
      </c>
    </row>
    <row r="396" spans="1:5">
      <c r="A396" s="27">
        <v>46140</v>
      </c>
      <c r="B396" s="32" t="s">
        <v>405</v>
      </c>
      <c r="C396" s="22">
        <v>3000</v>
      </c>
      <c r="D396" t="s">
        <v>22</v>
      </c>
    </row>
    <row r="397" spans="1:5">
      <c r="A397" s="27">
        <v>46274</v>
      </c>
      <c r="B397" s="32" t="s">
        <v>194</v>
      </c>
      <c r="C397" s="22">
        <v>8000</v>
      </c>
      <c r="D397" t="s">
        <v>17</v>
      </c>
      <c r="E397" s="32" t="s">
        <v>335</v>
      </c>
    </row>
  </sheetData>
  <mergeCells count="3">
    <mergeCell ref="W2:Y2"/>
    <mergeCell ref="F1:J2"/>
    <mergeCell ref="A1:E2"/>
  </mergeCells>
  <conditionalFormatting sqref="C3:C75 C77:C81 C83:C102 C104:C116 C118:C123 C126:C137 C139:C148 C150:C151 C153:C154 C156:C177 C179:C1048576">
    <cfRule type="dataBar" priority="1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{B6517D41-7AA5-42B2-8443-D046AF756AB6}</x14:id>
        </ext>
      </extLst>
    </cfRule>
  </conditionalFormatting>
  <conditionalFormatting sqref="F4">
    <cfRule type="containsText" dxfId="5" priority="16" operator="containsText" text="Satish">
      <formula>NOT(ISERROR(SEARCH("Satish",F4)))</formula>
    </cfRule>
  </conditionalFormatting>
  <conditionalFormatting sqref="G4">
    <cfRule type="cellIs" dxfId="4" priority="15" operator="greaterThan">
      <formula>5000</formula>
    </cfRule>
  </conditionalFormatting>
  <conditionalFormatting sqref="C76">
    <cfRule type="dataBar" priority="1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{D554DED3-DA42-4058-9225-186FC75AA792}</x14:id>
        </ext>
      </extLst>
    </cfRule>
  </conditionalFormatting>
  <conditionalFormatting sqref="C82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{27DB5077-5C08-4249-8442-81202363F0D5}</x14:id>
        </ext>
      </extLst>
    </cfRule>
  </conditionalFormatting>
  <conditionalFormatting sqref="C103">
    <cfRule type="dataBar" priority="1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{FCE7C808-87DB-4771-8482-6CFFAB84E9A1}</x14:id>
        </ext>
      </extLst>
    </cfRule>
  </conditionalFormatting>
  <conditionalFormatting sqref="C117">
    <cfRule type="dataBar" priority="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{A9D874B8-1969-4107-A2E8-CD01F78D6B81}</x14:id>
        </ext>
      </extLst>
    </cfRule>
  </conditionalFormatting>
  <conditionalFormatting sqref="C124">
    <cfRule type="dataBar" priority="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{B8B8D951-E896-46E8-BCEF-BC6463E5196A}</x14:id>
        </ext>
      </extLst>
    </cfRule>
  </conditionalFormatting>
  <conditionalFormatting sqref="C125">
    <cfRule type="dataBar" priority="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{99D421B4-AA33-4BB0-88AF-48494E54A732}</x14:id>
        </ext>
      </extLst>
    </cfRule>
  </conditionalFormatting>
  <conditionalFormatting sqref="C138">
    <cfRule type="dataBar" priority="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{289DAD41-C3ED-4340-8D01-5C2E76F7D4AA}</x14:id>
        </ext>
      </extLst>
    </cfRule>
  </conditionalFormatting>
  <conditionalFormatting sqref="F92">
    <cfRule type="iconSet" priority="5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C149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{9C16459C-C87E-4B8E-8F5A-94BADC2C7699}</x14:id>
        </ext>
      </extLst>
    </cfRule>
  </conditionalFormatting>
  <conditionalFormatting sqref="C152">
    <cfRule type="dataBar" priority="2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{5D766BF7-6530-4436-8F8E-D5044449FABD}</x14:id>
        </ext>
      </extLst>
    </cfRule>
  </conditionalFormatting>
  <conditionalFormatting sqref="C155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{93D91015-29F2-461B-8D6D-5591AFDED65E}</x14:id>
        </ext>
      </extLst>
    </cfRule>
  </conditionalFormatting>
  <conditionalFormatting sqref="C178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{E0156B0E-A6C8-452E-B613-0D40D836D1BC}</x14:id>
        </ext>
      </extLst>
    </cfRule>
  </conditionalFormatting>
  <pageMargins left="0.7" right="0.7" top="0.75" bottom="0.75" header="0.3" footer="0.3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6517D41-7AA5-42B2-8443-D046AF756A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C3:C75 C77:C81 C83:C102 C104:C116 C118:C123 C126:C137 C139:C148 C150:C151 C153:C154 C156:C177 C179:C1048576</xm:sqref>
        </x14:conditionalFormatting>
        <x14:conditionalFormatting xmlns:xm="http://schemas.microsoft.com/office/excel/2006/main">
          <x14:cfRule type="dataBar" id="{D554DED3-DA42-4058-9225-186FC75AA7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C76</xm:sqref>
        </x14:conditionalFormatting>
        <x14:conditionalFormatting xmlns:xm="http://schemas.microsoft.com/office/excel/2006/main">
          <x14:cfRule type="dataBar" id="{27DB5077-5C08-4249-8442-81202363F0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C82</xm:sqref>
        </x14:conditionalFormatting>
        <x14:conditionalFormatting xmlns:xm="http://schemas.microsoft.com/office/excel/2006/main">
          <x14:cfRule type="dataBar" id="{FCE7C808-87DB-4771-8482-6CFFAB84E9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C103</xm:sqref>
        </x14:conditionalFormatting>
        <x14:conditionalFormatting xmlns:xm="http://schemas.microsoft.com/office/excel/2006/main">
          <x14:cfRule type="dataBar" id="{A9D874B8-1969-4107-A2E8-CD01F78D6B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C117</xm:sqref>
        </x14:conditionalFormatting>
        <x14:conditionalFormatting xmlns:xm="http://schemas.microsoft.com/office/excel/2006/main">
          <x14:cfRule type="dataBar" id="{B8B8D951-E896-46E8-BCEF-BC6463E519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C124</xm:sqref>
        </x14:conditionalFormatting>
        <x14:conditionalFormatting xmlns:xm="http://schemas.microsoft.com/office/excel/2006/main">
          <x14:cfRule type="dataBar" id="{99D421B4-AA33-4BB0-88AF-48494E54A7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C125</xm:sqref>
        </x14:conditionalFormatting>
        <x14:conditionalFormatting xmlns:xm="http://schemas.microsoft.com/office/excel/2006/main">
          <x14:cfRule type="dataBar" id="{289DAD41-C3ED-4340-8D01-5C2E76F7D4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C138</xm:sqref>
        </x14:conditionalFormatting>
        <x14:conditionalFormatting xmlns:xm="http://schemas.microsoft.com/office/excel/2006/main">
          <x14:cfRule type="dataBar" id="{9C16459C-C87E-4B8E-8F5A-94BADC2C76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C149</xm:sqref>
        </x14:conditionalFormatting>
        <x14:conditionalFormatting xmlns:xm="http://schemas.microsoft.com/office/excel/2006/main">
          <x14:cfRule type="dataBar" id="{5D766BF7-6530-4436-8F8E-D5044449FA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C152</xm:sqref>
        </x14:conditionalFormatting>
        <x14:conditionalFormatting xmlns:xm="http://schemas.microsoft.com/office/excel/2006/main">
          <x14:cfRule type="dataBar" id="{93D91015-29F2-461B-8D6D-5591AFDED6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C155</xm:sqref>
        </x14:conditionalFormatting>
        <x14:conditionalFormatting xmlns:xm="http://schemas.microsoft.com/office/excel/2006/main">
          <x14:cfRule type="dataBar" id="{E0156B0E-A6C8-452E-B613-0D40D836D1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C178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69478-3BEE-4708-91A4-A6AF537FA7FC}">
  <sheetPr>
    <tabColor rgb="FF5B9BD5"/>
  </sheetPr>
  <dimension ref="A1:Q38"/>
  <sheetViews>
    <sheetView workbookViewId="0">
      <selection activeCell="E10" sqref="E10"/>
    </sheetView>
  </sheetViews>
  <sheetFormatPr defaultRowHeight="15"/>
  <cols>
    <col min="1" max="1" width="17.85546875" bestFit="1" customWidth="1"/>
    <col min="2" max="2" width="10.42578125" customWidth="1"/>
    <col min="5" max="5" width="12" bestFit="1" customWidth="1"/>
    <col min="16" max="16" width="12" bestFit="1" customWidth="1"/>
    <col min="17" max="17" width="44" customWidth="1"/>
  </cols>
  <sheetData>
    <row r="1" spans="1:17">
      <c r="A1" s="58" t="s">
        <v>412</v>
      </c>
      <c r="B1" s="58"/>
      <c r="C1" s="58"/>
      <c r="D1" s="58"/>
      <c r="Q1" t="s">
        <v>413</v>
      </c>
    </row>
    <row r="2" spans="1:17">
      <c r="D2" s="4" t="s">
        <v>414</v>
      </c>
      <c r="E2" s="4" t="s">
        <v>415</v>
      </c>
      <c r="F2" s="4" t="s">
        <v>416</v>
      </c>
      <c r="G2" s="4" t="s">
        <v>417</v>
      </c>
      <c r="H2" s="4" t="s">
        <v>418</v>
      </c>
      <c r="I2" s="4" t="s">
        <v>419</v>
      </c>
      <c r="J2" s="4" t="s">
        <v>420</v>
      </c>
      <c r="K2" s="4" t="s">
        <v>421</v>
      </c>
      <c r="L2" s="4" t="s">
        <v>422</v>
      </c>
      <c r="M2" s="4" t="s">
        <v>423</v>
      </c>
      <c r="N2" s="4" t="s">
        <v>424</v>
      </c>
      <c r="O2" s="4" t="s">
        <v>425</v>
      </c>
      <c r="P2" s="4" t="s">
        <v>12</v>
      </c>
      <c r="Q2" s="7" t="s">
        <v>426</v>
      </c>
    </row>
    <row r="3" spans="1:17">
      <c r="A3" s="59" t="s">
        <v>427</v>
      </c>
      <c r="B3" s="59"/>
      <c r="C3" s="59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7">
      <c r="A4" t="s">
        <v>30</v>
      </c>
      <c r="E4" s="3">
        <v>129000</v>
      </c>
      <c r="F4" s="3"/>
      <c r="G4" s="3"/>
      <c r="H4" s="3"/>
      <c r="I4" s="3"/>
      <c r="J4" s="3"/>
      <c r="K4" s="3"/>
      <c r="L4" s="3"/>
      <c r="M4" s="3"/>
      <c r="N4" s="3"/>
      <c r="O4" s="3"/>
      <c r="P4" s="3">
        <f>SUM(D4:O4)</f>
        <v>129000</v>
      </c>
      <c r="Q4" t="s">
        <v>428</v>
      </c>
    </row>
    <row r="5" spans="1:17">
      <c r="A5" t="s">
        <v>429</v>
      </c>
      <c r="E5" s="3">
        <v>190000</v>
      </c>
      <c r="F5" s="3"/>
      <c r="G5" s="3"/>
      <c r="H5" s="3"/>
      <c r="I5" s="3"/>
      <c r="J5" s="3"/>
      <c r="K5" s="3"/>
      <c r="L5" s="3"/>
      <c r="M5" s="3"/>
      <c r="N5" s="3"/>
      <c r="O5" s="3"/>
      <c r="P5" s="3">
        <f t="shared" ref="P5:P14" si="0">SUM(D5:O5)</f>
        <v>190000</v>
      </c>
      <c r="Q5" t="s">
        <v>428</v>
      </c>
    </row>
    <row r="6" spans="1:17">
      <c r="A6" t="s">
        <v>430</v>
      </c>
      <c r="E6" s="3">
        <v>75000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>
        <f t="shared" si="0"/>
        <v>75000</v>
      </c>
      <c r="Q6" t="s">
        <v>431</v>
      </c>
    </row>
    <row r="7" spans="1:17">
      <c r="A7" t="s">
        <v>432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>
        <f t="shared" si="0"/>
        <v>0</v>
      </c>
    </row>
    <row r="8" spans="1:17">
      <c r="A8" t="s">
        <v>433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>
        <f t="shared" si="0"/>
        <v>0</v>
      </c>
    </row>
    <row r="9" spans="1:17"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>
        <f t="shared" si="0"/>
        <v>0</v>
      </c>
    </row>
    <row r="10" spans="1:17"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>
        <f t="shared" si="0"/>
        <v>0</v>
      </c>
    </row>
    <row r="11" spans="1:17"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>
        <f t="shared" si="0"/>
        <v>0</v>
      </c>
    </row>
    <row r="12" spans="1:17"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>
        <f t="shared" si="0"/>
        <v>0</v>
      </c>
    </row>
    <row r="13" spans="1:17"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>
        <f t="shared" si="0"/>
        <v>0</v>
      </c>
    </row>
    <row r="14" spans="1:17"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>
        <f t="shared" si="0"/>
        <v>0</v>
      </c>
    </row>
    <row r="15" spans="1:17"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17">
      <c r="A16" s="5" t="s">
        <v>434</v>
      </c>
      <c r="B16" s="5"/>
      <c r="C16" s="5"/>
      <c r="D16" s="5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>
        <f>SUM(P4:P14)</f>
        <v>394000</v>
      </c>
    </row>
    <row r="17" spans="1:16"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>
      <c r="A18" s="59" t="s">
        <v>435</v>
      </c>
      <c r="B18" s="59"/>
      <c r="C18" s="59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t="s">
        <v>436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>
        <f>SUM(D19:O19)</f>
        <v>0</v>
      </c>
    </row>
    <row r="20" spans="1:16">
      <c r="A20" t="s">
        <v>379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>
        <f t="shared" ref="P20:P29" si="1">SUM(D20:O20)</f>
        <v>0</v>
      </c>
    </row>
    <row r="21" spans="1:16">
      <c r="A21" t="s">
        <v>437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>
        <f t="shared" si="1"/>
        <v>0</v>
      </c>
    </row>
    <row r="22" spans="1:16">
      <c r="A22" t="s">
        <v>438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>
        <f t="shared" si="1"/>
        <v>0</v>
      </c>
    </row>
    <row r="23" spans="1:16"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>
        <f t="shared" si="1"/>
        <v>0</v>
      </c>
    </row>
    <row r="24" spans="1:16"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>
        <f t="shared" si="1"/>
        <v>0</v>
      </c>
    </row>
    <row r="25" spans="1:16"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>
        <f t="shared" si="1"/>
        <v>0</v>
      </c>
    </row>
    <row r="26" spans="1:16"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>
        <f t="shared" si="1"/>
        <v>0</v>
      </c>
    </row>
    <row r="27" spans="1:16"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>
        <f t="shared" si="1"/>
        <v>0</v>
      </c>
    </row>
    <row r="28" spans="1:16"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>
        <f t="shared" si="1"/>
        <v>0</v>
      </c>
    </row>
    <row r="29" spans="1:16"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>
        <f t="shared" si="1"/>
        <v>0</v>
      </c>
    </row>
    <row r="30" spans="1:16"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16"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16"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6"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1:16"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6"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>
      <c r="A36" s="5" t="s">
        <v>434</v>
      </c>
      <c r="B36" s="5"/>
      <c r="C36" s="5"/>
      <c r="D36" s="5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>
        <f>SUM(P24:P34)</f>
        <v>0</v>
      </c>
    </row>
    <row r="38" spans="1:16">
      <c r="A38" s="59" t="s">
        <v>439</v>
      </c>
      <c r="B38" s="59"/>
      <c r="C38" s="59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</sheetData>
  <mergeCells count="4">
    <mergeCell ref="A1:D1"/>
    <mergeCell ref="A3:C3"/>
    <mergeCell ref="A18:C18"/>
    <mergeCell ref="A38:C3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D789F-84B5-4F54-9C54-9842863C3FFB}">
  <sheetPr>
    <tabColor rgb="FF5B9BD5"/>
  </sheetPr>
  <dimension ref="A1:H13"/>
  <sheetViews>
    <sheetView topLeftCell="A17" workbookViewId="0">
      <selection activeCell="A17" sqref="A17"/>
    </sheetView>
  </sheetViews>
  <sheetFormatPr defaultRowHeight="15"/>
  <cols>
    <col min="1" max="1" width="26.28515625" style="2" bestFit="1" customWidth="1"/>
    <col min="4" max="4" width="18" bestFit="1" customWidth="1"/>
    <col min="5" max="5" width="13.28515625" style="3" customWidth="1"/>
    <col min="6" max="6" width="25.5703125" customWidth="1"/>
    <col min="7" max="7" width="84.28515625" bestFit="1" customWidth="1"/>
    <col min="8" max="8" width="48.140625" bestFit="1" customWidth="1"/>
  </cols>
  <sheetData>
    <row r="1" spans="1:8" ht="21">
      <c r="A1" s="61" t="s">
        <v>440</v>
      </c>
      <c r="B1" s="62"/>
      <c r="C1" s="62"/>
      <c r="D1" s="62"/>
      <c r="E1" s="62"/>
      <c r="F1" s="62"/>
      <c r="G1" s="62"/>
      <c r="H1" s="62"/>
    </row>
    <row r="2" spans="1:8">
      <c r="A2" s="9" t="s">
        <v>441</v>
      </c>
      <c r="B2" s="8"/>
      <c r="C2" s="60" t="s">
        <v>413</v>
      </c>
      <c r="D2" s="60"/>
      <c r="E2" s="10" t="s">
        <v>5</v>
      </c>
      <c r="F2" s="8" t="s">
        <v>442</v>
      </c>
      <c r="G2" s="8" t="s">
        <v>426</v>
      </c>
      <c r="H2" s="8" t="s">
        <v>443</v>
      </c>
    </row>
    <row r="3" spans="1:8">
      <c r="B3" s="63" t="s">
        <v>444</v>
      </c>
      <c r="C3" s="63"/>
    </row>
    <row r="4" spans="1:8">
      <c r="A4" s="2">
        <v>44625</v>
      </c>
      <c r="D4" t="s">
        <v>445</v>
      </c>
      <c r="E4" s="3">
        <v>27000</v>
      </c>
      <c r="F4" t="s">
        <v>446</v>
      </c>
      <c r="G4" t="s">
        <v>447</v>
      </c>
      <c r="H4" t="s">
        <v>448</v>
      </c>
    </row>
    <row r="5" spans="1:8">
      <c r="D5" t="s">
        <v>449</v>
      </c>
      <c r="H5" t="s">
        <v>450</v>
      </c>
    </row>
    <row r="6" spans="1:8" ht="103.5" customHeight="1">
      <c r="A6" s="2">
        <v>44627</v>
      </c>
      <c r="D6" t="s">
        <v>451</v>
      </c>
      <c r="E6" s="3">
        <v>129000</v>
      </c>
      <c r="F6" t="s">
        <v>452</v>
      </c>
      <c r="G6" t="s">
        <v>453</v>
      </c>
    </row>
    <row r="7" spans="1:8">
      <c r="D7" t="s">
        <v>454</v>
      </c>
    </row>
    <row r="8" spans="1:8">
      <c r="A8" s="2">
        <v>44618</v>
      </c>
      <c r="D8" t="s">
        <v>455</v>
      </c>
      <c r="E8" s="3">
        <v>5000</v>
      </c>
      <c r="F8" t="s">
        <v>446</v>
      </c>
      <c r="G8" t="s">
        <v>456</v>
      </c>
    </row>
    <row r="10" spans="1:8">
      <c r="A10" s="2">
        <v>44618</v>
      </c>
      <c r="B10" s="63" t="s">
        <v>18</v>
      </c>
      <c r="C10" s="63"/>
    </row>
    <row r="11" spans="1:8">
      <c r="D11" t="s">
        <v>457</v>
      </c>
      <c r="E11" s="3">
        <v>90000</v>
      </c>
      <c r="F11" t="s">
        <v>458</v>
      </c>
      <c r="G11" t="s">
        <v>459</v>
      </c>
    </row>
    <row r="12" spans="1:8">
      <c r="A12" s="2">
        <v>44625</v>
      </c>
      <c r="D12" t="s">
        <v>460</v>
      </c>
      <c r="E12" s="3">
        <v>45000</v>
      </c>
      <c r="F12" t="s">
        <v>461</v>
      </c>
      <c r="G12" t="s">
        <v>462</v>
      </c>
    </row>
    <row r="13" spans="1:8">
      <c r="D13" t="s">
        <v>463</v>
      </c>
    </row>
  </sheetData>
  <mergeCells count="4">
    <mergeCell ref="C2:D2"/>
    <mergeCell ref="A1:H1"/>
    <mergeCell ref="B3:C3"/>
    <mergeCell ref="B10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43B0F-6061-40B9-9B61-7F9F22F2209E}">
  <sheetPr>
    <tabColor rgb="FFA9D08E"/>
  </sheetPr>
  <dimension ref="A1:R38"/>
  <sheetViews>
    <sheetView workbookViewId="0">
      <selection activeCell="A26" sqref="A26"/>
    </sheetView>
  </sheetViews>
  <sheetFormatPr defaultRowHeight="15"/>
  <cols>
    <col min="1" max="1" width="18.5703125" bestFit="1" customWidth="1"/>
    <col min="5" max="5" width="12.140625" customWidth="1"/>
    <col min="6" max="6" width="9.42578125" customWidth="1"/>
    <col min="16" max="16" width="14.5703125" customWidth="1"/>
    <col min="17" max="17" width="34.28515625" customWidth="1"/>
  </cols>
  <sheetData>
    <row r="1" spans="1:18">
      <c r="A1" s="58" t="s">
        <v>412</v>
      </c>
      <c r="B1" s="58"/>
      <c r="C1" s="58"/>
      <c r="D1" s="58"/>
      <c r="R1" s="3"/>
    </row>
    <row r="2" spans="1:18">
      <c r="D2" s="4" t="s">
        <v>414</v>
      </c>
      <c r="E2" s="4" t="s">
        <v>415</v>
      </c>
      <c r="F2" s="4" t="s">
        <v>416</v>
      </c>
      <c r="G2" s="4" t="s">
        <v>417</v>
      </c>
      <c r="H2" s="4" t="s">
        <v>418</v>
      </c>
      <c r="I2" s="4" t="s">
        <v>419</v>
      </c>
      <c r="J2" s="4" t="s">
        <v>420</v>
      </c>
      <c r="K2" s="4" t="s">
        <v>421</v>
      </c>
      <c r="L2" s="4" t="s">
        <v>422</v>
      </c>
      <c r="M2" s="4" t="s">
        <v>423</v>
      </c>
      <c r="N2" s="4" t="s">
        <v>424</v>
      </c>
      <c r="O2" s="4" t="s">
        <v>425</v>
      </c>
      <c r="P2" s="4" t="s">
        <v>12</v>
      </c>
      <c r="Q2" s="7" t="s">
        <v>426</v>
      </c>
      <c r="R2" s="3"/>
    </row>
    <row r="3" spans="1:18">
      <c r="A3" s="59" t="s">
        <v>427</v>
      </c>
      <c r="B3" s="59"/>
      <c r="C3" s="59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8">
      <c r="A4" t="s">
        <v>30</v>
      </c>
      <c r="E4" s="3">
        <v>120000</v>
      </c>
      <c r="F4" s="3"/>
      <c r="G4" s="3"/>
      <c r="H4" s="3"/>
      <c r="I4" s="3"/>
      <c r="J4" s="3"/>
      <c r="K4" s="3"/>
      <c r="L4" s="3"/>
      <c r="M4" s="3"/>
      <c r="N4" s="3"/>
      <c r="O4" s="3"/>
      <c r="P4" s="3">
        <f>SUM(D4:O4)</f>
        <v>120000</v>
      </c>
      <c r="Q4" t="s">
        <v>428</v>
      </c>
    </row>
    <row r="5" spans="1:18">
      <c r="A5" t="s">
        <v>429</v>
      </c>
      <c r="E5" s="3">
        <v>190000</v>
      </c>
      <c r="F5" s="3"/>
      <c r="G5" s="3"/>
      <c r="H5" s="3"/>
      <c r="I5" s="3"/>
      <c r="J5" s="3"/>
      <c r="K5" s="3"/>
      <c r="L5" s="3"/>
      <c r="M5" s="3"/>
      <c r="N5" s="3"/>
      <c r="O5" s="3"/>
      <c r="P5" s="3">
        <f t="shared" ref="P5:P14" si="0">SUM(D5:O5)</f>
        <v>190000</v>
      </c>
      <c r="Q5" t="s">
        <v>428</v>
      </c>
    </row>
    <row r="6" spans="1:18">
      <c r="A6" t="s">
        <v>430</v>
      </c>
      <c r="E6" s="3">
        <v>75000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>
        <f t="shared" si="0"/>
        <v>75000</v>
      </c>
      <c r="Q6" t="s">
        <v>431</v>
      </c>
      <c r="R6" s="3"/>
    </row>
    <row r="7" spans="1:18">
      <c r="A7" t="s">
        <v>432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>
        <f t="shared" si="0"/>
        <v>0</v>
      </c>
    </row>
    <row r="8" spans="1:18">
      <c r="A8" t="s">
        <v>433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>
        <f t="shared" si="0"/>
        <v>0</v>
      </c>
    </row>
    <row r="9" spans="1:18"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>
        <f t="shared" si="0"/>
        <v>0</v>
      </c>
    </row>
    <row r="10" spans="1:18"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>
        <f t="shared" si="0"/>
        <v>0</v>
      </c>
    </row>
    <row r="11" spans="1:18"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>
        <f t="shared" si="0"/>
        <v>0</v>
      </c>
    </row>
    <row r="12" spans="1:18"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>
        <f t="shared" si="0"/>
        <v>0</v>
      </c>
    </row>
    <row r="13" spans="1:18"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>
        <f t="shared" si="0"/>
        <v>0</v>
      </c>
    </row>
    <row r="14" spans="1:18"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>
        <f t="shared" si="0"/>
        <v>0</v>
      </c>
    </row>
    <row r="15" spans="1:18"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18">
      <c r="A16" s="5" t="s">
        <v>434</v>
      </c>
      <c r="B16" s="5"/>
      <c r="C16" s="5"/>
      <c r="D16" s="5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>
        <f>SUM(P4:P14)</f>
        <v>385000</v>
      </c>
    </row>
    <row r="17" spans="1:16"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>
      <c r="A18" s="59" t="s">
        <v>435</v>
      </c>
      <c r="B18" s="59"/>
      <c r="C18" s="59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t="s">
        <v>436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>
        <f>SUM(D19:O19)</f>
        <v>0</v>
      </c>
    </row>
    <row r="20" spans="1:16">
      <c r="A20" t="s">
        <v>379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>
        <f t="shared" ref="P20:P29" si="1">SUM(D20:O20)</f>
        <v>0</v>
      </c>
    </row>
    <row r="21" spans="1:16">
      <c r="A21" t="s">
        <v>437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>
        <f t="shared" si="1"/>
        <v>0</v>
      </c>
    </row>
    <row r="22" spans="1:16">
      <c r="A22" t="s">
        <v>438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>
        <f t="shared" si="1"/>
        <v>0</v>
      </c>
    </row>
    <row r="23" spans="1:16"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>
        <f t="shared" si="1"/>
        <v>0</v>
      </c>
    </row>
    <row r="24" spans="1:16"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>
        <f t="shared" si="1"/>
        <v>0</v>
      </c>
    </row>
    <row r="25" spans="1:16"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>
        <f t="shared" si="1"/>
        <v>0</v>
      </c>
    </row>
    <row r="26" spans="1:16"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>
        <f t="shared" si="1"/>
        <v>0</v>
      </c>
    </row>
    <row r="27" spans="1:16"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>
        <f t="shared" si="1"/>
        <v>0</v>
      </c>
    </row>
    <row r="28" spans="1:16"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>
        <f t="shared" si="1"/>
        <v>0</v>
      </c>
    </row>
    <row r="29" spans="1:16"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>
        <f t="shared" si="1"/>
        <v>0</v>
      </c>
    </row>
    <row r="30" spans="1:16"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16"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16"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6"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1:16"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6"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>
      <c r="A36" s="5" t="s">
        <v>434</v>
      </c>
      <c r="B36" s="5"/>
      <c r="C36" s="5"/>
      <c r="D36" s="5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>
        <f>SUM(P24:P34)</f>
        <v>0</v>
      </c>
    </row>
    <row r="38" spans="1:16">
      <c r="A38" s="59" t="s">
        <v>439</v>
      </c>
      <c r="B38" s="59"/>
      <c r="C38" s="59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</sheetData>
  <mergeCells count="4">
    <mergeCell ref="A1:D1"/>
    <mergeCell ref="A3:C3"/>
    <mergeCell ref="A18:C18"/>
    <mergeCell ref="A38:C3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0AD33-4522-4105-A321-475B28EBEB8A}">
  <sheetPr>
    <tabColor rgb="FFA9D08E"/>
  </sheetPr>
  <dimension ref="A1:H13"/>
  <sheetViews>
    <sheetView workbookViewId="0">
      <selection activeCell="E10" sqref="E10"/>
    </sheetView>
  </sheetViews>
  <sheetFormatPr defaultRowHeight="15"/>
  <cols>
    <col min="1" max="1" width="26.28515625" style="2" bestFit="1" customWidth="1"/>
    <col min="4" max="4" width="18" bestFit="1" customWidth="1"/>
    <col min="5" max="5" width="13.28515625" style="3" customWidth="1"/>
    <col min="6" max="6" width="25.5703125" customWidth="1"/>
    <col min="7" max="7" width="59.140625" bestFit="1" customWidth="1"/>
    <col min="8" max="8" width="18.85546875" customWidth="1"/>
  </cols>
  <sheetData>
    <row r="1" spans="1:8" ht="21">
      <c r="A1" s="61" t="s">
        <v>464</v>
      </c>
      <c r="B1" s="62"/>
      <c r="C1" s="62"/>
      <c r="D1" s="62"/>
      <c r="E1" s="62"/>
      <c r="F1" s="62"/>
      <c r="G1" s="62"/>
      <c r="H1" s="62"/>
    </row>
    <row r="2" spans="1:8">
      <c r="A2" s="9" t="s">
        <v>441</v>
      </c>
      <c r="B2" s="8"/>
      <c r="C2" s="64" t="s">
        <v>413</v>
      </c>
      <c r="D2" s="64"/>
      <c r="E2" s="10" t="s">
        <v>5</v>
      </c>
      <c r="F2" s="8" t="s">
        <v>442</v>
      </c>
      <c r="G2" s="8" t="s">
        <v>426</v>
      </c>
      <c r="H2" s="8"/>
    </row>
    <row r="3" spans="1:8">
      <c r="C3" s="11" t="s">
        <v>444</v>
      </c>
    </row>
    <row r="4" spans="1:8">
      <c r="D4" t="s">
        <v>445</v>
      </c>
      <c r="G4" t="s">
        <v>448</v>
      </c>
    </row>
    <row r="5" spans="1:8">
      <c r="D5" t="s">
        <v>449</v>
      </c>
      <c r="G5" t="s">
        <v>450</v>
      </c>
    </row>
    <row r="6" spans="1:8">
      <c r="D6" t="s">
        <v>451</v>
      </c>
      <c r="G6" t="s">
        <v>465</v>
      </c>
    </row>
    <row r="7" spans="1:8">
      <c r="D7" t="s">
        <v>454</v>
      </c>
    </row>
    <row r="8" spans="1:8">
      <c r="A8" s="2">
        <v>44618</v>
      </c>
      <c r="D8" t="s">
        <v>455</v>
      </c>
      <c r="E8" s="3">
        <v>5000</v>
      </c>
      <c r="F8" t="s">
        <v>446</v>
      </c>
      <c r="G8" t="s">
        <v>456</v>
      </c>
    </row>
    <row r="10" spans="1:8">
      <c r="A10" s="2">
        <v>44618</v>
      </c>
      <c r="C10" s="11" t="s">
        <v>18</v>
      </c>
    </row>
    <row r="11" spans="1:8">
      <c r="D11" t="s">
        <v>457</v>
      </c>
      <c r="E11" s="3">
        <v>90000</v>
      </c>
      <c r="F11" t="s">
        <v>458</v>
      </c>
      <c r="G11" t="s">
        <v>459</v>
      </c>
    </row>
    <row r="12" spans="1:8">
      <c r="D12" t="s">
        <v>460</v>
      </c>
    </row>
    <row r="13" spans="1:8">
      <c r="D13" t="s">
        <v>463</v>
      </c>
    </row>
  </sheetData>
  <mergeCells count="2">
    <mergeCell ref="A1:H1"/>
    <mergeCell ref="C2:D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AE640-8717-44C2-A40F-35A38CC8B0EA}">
  <dimension ref="A1:K45"/>
  <sheetViews>
    <sheetView workbookViewId="0">
      <selection activeCell="A16" sqref="A16"/>
    </sheetView>
  </sheetViews>
  <sheetFormatPr defaultRowHeight="15"/>
  <cols>
    <col min="1" max="1" width="23.42578125" customWidth="1"/>
    <col min="2" max="2" width="12.28515625" bestFit="1" customWidth="1"/>
    <col min="5" max="5" width="14.42578125" customWidth="1"/>
  </cols>
  <sheetData>
    <row r="1" spans="1:11">
      <c r="A1" s="45" t="s">
        <v>14</v>
      </c>
      <c r="B1" s="47" t="s">
        <v>466</v>
      </c>
      <c r="C1" s="47" t="s">
        <v>467</v>
      </c>
      <c r="E1" s="45" t="s">
        <v>14</v>
      </c>
      <c r="F1" s="47" t="s">
        <v>466</v>
      </c>
      <c r="G1" s="47" t="s">
        <v>467</v>
      </c>
    </row>
    <row r="2" spans="1:11">
      <c r="A2" s="44" t="s">
        <v>468</v>
      </c>
      <c r="B2" s="46">
        <v>28</v>
      </c>
      <c r="C2" s="46">
        <v>27</v>
      </c>
      <c r="E2" s="44" t="s">
        <v>469</v>
      </c>
      <c r="F2" s="46">
        <v>30</v>
      </c>
      <c r="G2" s="46">
        <v>31</v>
      </c>
      <c r="K2" s="46"/>
    </row>
    <row r="3" spans="1:11">
      <c r="A3" s="44" t="s">
        <v>470</v>
      </c>
      <c r="B3" s="46">
        <v>1</v>
      </c>
      <c r="C3" s="46">
        <v>0</v>
      </c>
      <c r="E3" s="44" t="s">
        <v>471</v>
      </c>
      <c r="F3" s="46">
        <v>30</v>
      </c>
      <c r="G3" s="46">
        <v>23</v>
      </c>
      <c r="K3" s="46"/>
    </row>
    <row r="4" spans="1:11">
      <c r="A4" s="44" t="s">
        <v>472</v>
      </c>
      <c r="B4" s="46">
        <v>1</v>
      </c>
      <c r="C4" s="46">
        <v>1</v>
      </c>
      <c r="E4" s="44" t="s">
        <v>473</v>
      </c>
      <c r="F4" s="46">
        <v>4</v>
      </c>
      <c r="G4" s="46">
        <v>4</v>
      </c>
      <c r="K4" s="46"/>
    </row>
    <row r="5" spans="1:11">
      <c r="A5" s="44" t="s">
        <v>474</v>
      </c>
      <c r="B5" s="46">
        <v>10</v>
      </c>
      <c r="C5" s="46">
        <v>11</v>
      </c>
      <c r="E5" s="44" t="s">
        <v>475</v>
      </c>
      <c r="F5" s="46">
        <v>0</v>
      </c>
      <c r="G5" s="46">
        <v>1</v>
      </c>
      <c r="K5" s="46"/>
    </row>
    <row r="6" spans="1:11">
      <c r="A6" s="44" t="s">
        <v>476</v>
      </c>
      <c r="B6" s="46">
        <v>3</v>
      </c>
      <c r="C6" s="46">
        <v>3</v>
      </c>
      <c r="E6" s="44" t="s">
        <v>477</v>
      </c>
      <c r="F6" s="46">
        <v>8</v>
      </c>
      <c r="G6" s="46">
        <v>1</v>
      </c>
      <c r="K6" s="46"/>
    </row>
    <row r="7" spans="1:11">
      <c r="A7" s="44" t="s">
        <v>478</v>
      </c>
      <c r="B7" s="46">
        <v>1</v>
      </c>
      <c r="C7" s="46">
        <v>1</v>
      </c>
      <c r="E7" s="44" t="s">
        <v>479</v>
      </c>
      <c r="F7" s="46">
        <v>5</v>
      </c>
      <c r="G7" s="46">
        <v>25</v>
      </c>
      <c r="K7" s="46"/>
    </row>
    <row r="8" spans="1:11">
      <c r="A8" s="44" t="s">
        <v>480</v>
      </c>
      <c r="B8" s="46">
        <v>3</v>
      </c>
      <c r="C8" s="46">
        <v>5</v>
      </c>
      <c r="E8" s="44" t="s">
        <v>481</v>
      </c>
      <c r="F8" s="46">
        <v>1</v>
      </c>
      <c r="G8" s="46">
        <v>1</v>
      </c>
      <c r="K8" s="46"/>
    </row>
    <row r="9" spans="1:11">
      <c r="A9" s="44" t="s">
        <v>482</v>
      </c>
      <c r="B9" s="46">
        <v>10</v>
      </c>
      <c r="C9" s="46">
        <v>7</v>
      </c>
      <c r="E9" s="44" t="s">
        <v>483</v>
      </c>
      <c r="F9" s="46">
        <v>18</v>
      </c>
      <c r="G9" s="46">
        <v>0</v>
      </c>
      <c r="K9" s="46"/>
    </row>
    <row r="10" spans="1:11">
      <c r="A10" s="44" t="s">
        <v>484</v>
      </c>
      <c r="B10" s="46">
        <v>1</v>
      </c>
      <c r="C10" s="46">
        <v>3</v>
      </c>
      <c r="E10" s="44" t="s">
        <v>485</v>
      </c>
      <c r="F10" s="46">
        <v>9</v>
      </c>
      <c r="G10" s="46">
        <v>0</v>
      </c>
      <c r="K10" s="46"/>
    </row>
    <row r="11" spans="1:11">
      <c r="A11" s="44" t="s">
        <v>486</v>
      </c>
      <c r="B11" s="46">
        <v>1</v>
      </c>
      <c r="C11" s="46">
        <v>0</v>
      </c>
      <c r="E11" s="44" t="s">
        <v>468</v>
      </c>
      <c r="F11" s="46">
        <v>1</v>
      </c>
      <c r="G11" s="46">
        <v>0</v>
      </c>
      <c r="K11" s="46"/>
    </row>
    <row r="12" spans="1:11">
      <c r="A12" s="44" t="s">
        <v>473</v>
      </c>
      <c r="B12" s="46">
        <v>0</v>
      </c>
      <c r="C12" s="46">
        <v>1</v>
      </c>
      <c r="E12" s="44" t="s">
        <v>487</v>
      </c>
      <c r="F12" s="46">
        <v>2</v>
      </c>
      <c r="G12" s="46">
        <v>0</v>
      </c>
      <c r="K12" s="46"/>
    </row>
    <row r="13" spans="1:11">
      <c r="A13" s="44" t="s">
        <v>488</v>
      </c>
      <c r="B13" s="46">
        <v>445</v>
      </c>
      <c r="C13" s="46">
        <v>475</v>
      </c>
      <c r="E13" s="44" t="s">
        <v>489</v>
      </c>
      <c r="F13" s="46">
        <v>750</v>
      </c>
      <c r="G13" s="46">
        <v>750</v>
      </c>
      <c r="K13" s="46"/>
    </row>
    <row r="14" spans="1:11">
      <c r="A14" s="44" t="s">
        <v>490</v>
      </c>
      <c r="B14" s="46">
        <v>1</v>
      </c>
      <c r="C14" s="46">
        <v>2</v>
      </c>
      <c r="E14" s="44" t="s">
        <v>490</v>
      </c>
      <c r="F14" s="46">
        <v>0</v>
      </c>
      <c r="G14" s="46">
        <v>5</v>
      </c>
      <c r="K14" s="46"/>
    </row>
    <row r="15" spans="1:11">
      <c r="A15" s="48" t="s">
        <v>12</v>
      </c>
      <c r="B15" s="49">
        <f>SUM(B2:B14)</f>
        <v>505</v>
      </c>
      <c r="C15" s="49">
        <f>SUM(C2:C14)</f>
        <v>536</v>
      </c>
      <c r="D15" s="43"/>
      <c r="E15" s="48" t="s">
        <v>12</v>
      </c>
      <c r="F15" s="49">
        <f>SUM(F2:F14)</f>
        <v>858</v>
      </c>
      <c r="G15" s="49">
        <f>SUM(G2:G14)</f>
        <v>841</v>
      </c>
      <c r="K15" s="46"/>
    </row>
    <row r="16" spans="1:11">
      <c r="A16" s="50" t="s">
        <v>491</v>
      </c>
      <c r="B16" s="51">
        <f>B15+C15</f>
        <v>1041</v>
      </c>
      <c r="C16" s="50"/>
      <c r="D16" s="50"/>
      <c r="E16" s="50" t="s">
        <v>492</v>
      </c>
      <c r="F16" s="51">
        <f>F15+G15</f>
        <v>1699</v>
      </c>
      <c r="G16" s="50"/>
      <c r="K16" s="46"/>
    </row>
    <row r="17" spans="1:11">
      <c r="K17" s="46"/>
    </row>
    <row r="18" spans="1:11">
      <c r="K18" s="46"/>
    </row>
    <row r="19" spans="1:11">
      <c r="A19" s="52" t="s">
        <v>493</v>
      </c>
      <c r="B19" s="52">
        <f>B16+F16</f>
        <v>2740</v>
      </c>
      <c r="K19" s="46"/>
    </row>
    <row r="20" spans="1:11">
      <c r="K20" s="46"/>
    </row>
    <row r="21" spans="1:11">
      <c r="K21" s="46"/>
    </row>
    <row r="22" spans="1:11">
      <c r="K22" s="46"/>
    </row>
    <row r="23" spans="1:11">
      <c r="K23" s="46"/>
    </row>
    <row r="24" spans="1:11">
      <c r="K24" s="46"/>
    </row>
    <row r="25" spans="1:11">
      <c r="K25" s="46"/>
    </row>
    <row r="26" spans="1:11">
      <c r="K26" s="46"/>
    </row>
    <row r="27" spans="1:11">
      <c r="K27" s="46"/>
    </row>
    <row r="28" spans="1:11">
      <c r="K28" s="46"/>
    </row>
    <row r="29" spans="1:11">
      <c r="K29" s="46"/>
    </row>
    <row r="30" spans="1:11">
      <c r="K30" s="46"/>
    </row>
    <row r="31" spans="1:11">
      <c r="K31" s="46"/>
    </row>
    <row r="32" spans="1:11">
      <c r="K32" s="46"/>
    </row>
    <row r="33" spans="11:11">
      <c r="K33" s="46"/>
    </row>
    <row r="34" spans="11:11">
      <c r="K34" s="46"/>
    </row>
    <row r="35" spans="11:11">
      <c r="K35" s="46"/>
    </row>
    <row r="36" spans="11:11">
      <c r="K36" s="46"/>
    </row>
    <row r="37" spans="11:11">
      <c r="K37" s="46"/>
    </row>
    <row r="38" spans="11:11">
      <c r="K38" s="46"/>
    </row>
    <row r="39" spans="11:11">
      <c r="K39" s="46"/>
    </row>
    <row r="40" spans="11:11">
      <c r="K40" s="46"/>
    </row>
    <row r="41" spans="11:11">
      <c r="K41" s="46"/>
    </row>
    <row r="42" spans="11:11">
      <c r="K42" s="46"/>
    </row>
    <row r="43" spans="11:11">
      <c r="K43" s="46"/>
    </row>
    <row r="44" spans="11:11">
      <c r="K44" s="46"/>
    </row>
    <row r="45" spans="11:11">
      <c r="K45" s="4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7EF78-D521-450A-93A4-AA05F6F0AF77}">
  <dimension ref="A1:F5"/>
  <sheetViews>
    <sheetView workbookViewId="0">
      <selection activeCell="B8" sqref="B8"/>
    </sheetView>
  </sheetViews>
  <sheetFormatPr defaultRowHeight="15"/>
  <cols>
    <col min="1" max="1" width="36.42578125" bestFit="1" customWidth="1"/>
    <col min="2" max="2" width="28.140625" bestFit="1" customWidth="1"/>
    <col min="3" max="3" width="17.42578125" bestFit="1" customWidth="1"/>
    <col min="4" max="4" width="15.7109375" bestFit="1" customWidth="1"/>
    <col min="5" max="5" width="15" bestFit="1" customWidth="1"/>
    <col min="6" max="6" width="10.28515625" bestFit="1" customWidth="1"/>
  </cols>
  <sheetData>
    <row r="1" spans="1:6">
      <c r="A1" s="53" t="s">
        <v>494</v>
      </c>
      <c r="B1" s="53" t="s">
        <v>495</v>
      </c>
      <c r="C1" s="53" t="s">
        <v>496</v>
      </c>
      <c r="D1" s="53" t="s">
        <v>497</v>
      </c>
      <c r="E1" s="53" t="s">
        <v>498</v>
      </c>
      <c r="F1" s="53" t="s">
        <v>499</v>
      </c>
    </row>
    <row r="2" spans="1:6">
      <c r="A2" s="65">
        <f>4+35+1+3+4</f>
        <v>47</v>
      </c>
      <c r="B2" s="46">
        <v>35</v>
      </c>
      <c r="C2" s="46">
        <v>170</v>
      </c>
      <c r="D2" s="46">
        <v>153</v>
      </c>
      <c r="E2" s="46">
        <v>45</v>
      </c>
      <c r="F2" s="46">
        <f>(D2*E2)</f>
        <v>6885</v>
      </c>
    </row>
    <row r="3" spans="1:6">
      <c r="A3" s="66"/>
      <c r="B3" s="46">
        <v>8</v>
      </c>
      <c r="C3" s="46" t="s">
        <v>500</v>
      </c>
      <c r="D3" s="46">
        <f>23+5+18</f>
        <v>46</v>
      </c>
      <c r="E3" s="46">
        <v>50</v>
      </c>
      <c r="F3" s="46">
        <f t="shared" ref="F3:F4" si="0">(D3*E3)</f>
        <v>2300</v>
      </c>
    </row>
    <row r="4" spans="1:6">
      <c r="A4" s="67"/>
      <c r="B4" s="46">
        <v>4</v>
      </c>
      <c r="C4" s="46" t="s">
        <v>500</v>
      </c>
      <c r="D4" s="46">
        <f>18</f>
        <v>18</v>
      </c>
      <c r="E4" s="46">
        <v>50</v>
      </c>
      <c r="F4" s="46">
        <f t="shared" si="0"/>
        <v>900</v>
      </c>
    </row>
    <row r="5" spans="1:6">
      <c r="A5" s="47" t="s">
        <v>23</v>
      </c>
      <c r="B5" s="47"/>
      <c r="C5" s="47"/>
      <c r="D5" s="47"/>
      <c r="E5" s="47"/>
      <c r="F5" s="47">
        <f>SUM(F2:F4)</f>
        <v>10085</v>
      </c>
    </row>
  </sheetData>
  <mergeCells count="1">
    <mergeCell ref="A2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Mahesh C</cp:lastModifiedBy>
  <cp:revision/>
  <dcterms:created xsi:type="dcterms:W3CDTF">2022-03-02T10:58:21Z</dcterms:created>
  <dcterms:modified xsi:type="dcterms:W3CDTF">2026-09-09T13:47:30Z</dcterms:modified>
  <cp:category/>
  <cp:contentStatus/>
</cp:coreProperties>
</file>